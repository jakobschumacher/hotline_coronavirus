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Default Extension="TIF" ContentType="image/tiff"/>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DieseArbeitsmappe" defaultThemeVersion="164011"/>
  <mc:AlternateContent xmlns:mc="http://schemas.openxmlformats.org/markup-compatibility/2006">
    <mc:Choice Requires="x15">
      <x15ac:absPath xmlns:x15ac="http://schemas.microsoft.com/office/spreadsheetml/2010/11/ac" url="I:\DATEN\Gesundheitsamt\Lagezentrum\Entwicklung\"/>
    </mc:Choice>
  </mc:AlternateContent>
  <bookViews>
    <workbookView xWindow="0" yWindow="0" windowWidth="18930" windowHeight="6255" tabRatio="120"/>
  </bookViews>
  <sheets>
    <sheet name="Haupt" sheetId="12" r:id="rId1"/>
    <sheet name="Eingabetabelle" sheetId="1" r:id="rId2"/>
    <sheet name="Datenbank" sheetId="6" r:id="rId3"/>
    <sheet name="DatenKP" sheetId="14" r:id="rId4"/>
    <sheet name="Empfehlung" sheetId="9" r:id="rId5"/>
    <sheet name="KP1-Anordnung" sheetId="7" r:id="rId6"/>
    <sheet name="Covid-Anordnung" sheetId="10" r:id="rId7"/>
    <sheet name="Einstellungen" sheetId="3" r:id="rId8"/>
    <sheet name="Erläuterungen" sheetId="4" state="hidden" r:id="rId9"/>
    <sheet name="Tabelle2" sheetId="13" r:id="rId10"/>
  </sheets>
  <functionGroups builtInGroupCount="18"/>
  <definedNames>
    <definedName name="anderesGesAmt">Eingabetabelle!$Q$27</definedName>
    <definedName name="Anrede">Eingabetabelle!$C$11</definedName>
    <definedName name="AnredeText">Eingabetabelle!$Q$20</definedName>
    <definedName name="Arbeitgeber">Eingabetabelle!$C$37</definedName>
    <definedName name="Arbeitgeber_Hausnummer">Eingabetabelle!$C$41</definedName>
    <definedName name="Arbeitgeber_nur_Postleitzahl">Eingabetabelle!$C$43</definedName>
    <definedName name="Arbeitgeber_Ort">Eingabetabelle!$C$45</definedName>
    <definedName name="Arbeitgeber_Straße">Eingabetabelle!$C$39</definedName>
    <definedName name="baseurl">Einstellungen!$C$4</definedName>
    <definedName name="Beginn_Krankheitszeichen">Eingabetabelle!$C$33</definedName>
    <definedName name="Begründung">Eingabetabelle!$C$27</definedName>
    <definedName name="dateiname">Einstellungen!$C$6</definedName>
    <definedName name="Datum">Eingabetabelle!$L$2</definedName>
    <definedName name="_xlnm.Print_Area" localSheetId="6">'Covid-Anordnung'!$A$1:$I$102</definedName>
    <definedName name="_xlnm.Print_Area" localSheetId="1">Eingabetabelle!$B$54:$AE$78</definedName>
    <definedName name="_xlnm.Print_Area" localSheetId="4">Empfehlung!$A$1:$I$36</definedName>
    <definedName name="_xlnm.Print_Area" localSheetId="5">'KP1-Anordnung'!$A$1:$I$106</definedName>
    <definedName name="_xlnm.Print_Area" localSheetId="9">Tabelle2!$A$1:$A$39</definedName>
    <definedName name="Email_senden">Eingabetabelle!$Q$26</definedName>
    <definedName name="endung">Einstellungen!$C$7</definedName>
    <definedName name="Erziehungsberechtigte">Eingabetabelle!$C$9</definedName>
    <definedName name="Erziehungsberechtigte_r_Vorname_Name" localSheetId="6">Eingabetabelle!#REF!</definedName>
    <definedName name="Erziehungsberechtigte_r_Vorname_Name" localSheetId="3">Eingabetabelle!#REF!</definedName>
    <definedName name="Erziehungsberechtigte_r_Vorname_Name">Eingabetabelle!#REF!</definedName>
    <definedName name="Festnetz">Eingabetabelle!$C$23</definedName>
    <definedName name="Geburtsdatum">Eingabetabelle!$C$13</definedName>
    <definedName name="Hausnummer">Eingabetabelle!$C$17</definedName>
    <definedName name="Info_Datum_Quarantäneverstoss">Eingabetabelle!$Q$32</definedName>
    <definedName name="Info_vom_Quarant_Verstoss">Eingabetabelle!$F$30</definedName>
    <definedName name="janein">Eingabetabelle!$T$8:$T$9</definedName>
    <definedName name="KP_nächste_freie_Zeile">Eingabetabelle!$Q$33</definedName>
    <definedName name="KP_zustGesAMt">Eingabetabelle!$Q$34</definedName>
    <definedName name="KP_zustGesAmtEmail">Eingabetabelle!$Q$36</definedName>
    <definedName name="Language">Eingabetabelle!$Q$17</definedName>
    <definedName name="letzte_Zeile_Email">DatenKP!$AB$4</definedName>
    <definedName name="LetzteAnsteckung">Eingabetabelle!$C$29</definedName>
    <definedName name="Mobil">Eingabetabelle!$C$21</definedName>
    <definedName name="Nachname">Eingabetabelle!$C$5</definedName>
    <definedName name="nächste_freie_Zeile">Eingabetabelle!$Q$23</definedName>
    <definedName name="Notwendigkeit">Eingabetabelle!$Q$16</definedName>
    <definedName name="ordner">Einstellungen!$C$5</definedName>
    <definedName name="Ort">Eingabetabelle!$C$19</definedName>
    <definedName name="PLZ">Eingabetabelle!$C$19</definedName>
    <definedName name="Quarantaeneende">Eingabetabelle!$F$10</definedName>
    <definedName name="Quarantäneverstoss">Eingabetabelle!$Q$31</definedName>
    <definedName name="Risiko">Eingabetabelle!$Q$14</definedName>
    <definedName name="Rückruf">Eingabetabelle!$Q$22</definedName>
    <definedName name="Speicherort">Einstellungen!$C$4</definedName>
    <definedName name="Startzeile_Email">DatenKP!$AB$3</definedName>
    <definedName name="Strasse">Eingabetabelle!$C$15</definedName>
    <definedName name="Symptome">Eingabetabelle!$C$47</definedName>
    <definedName name="Verbtext">Eingabetabelle!$Q$21</definedName>
    <definedName name="Verlaengerung_QE" comment="Verlängerung QuarantäneEnde">Eingabetabelle!$F$11</definedName>
    <definedName name="Verlängerung_QE">Eingabetabelle!$F$11</definedName>
    <definedName name="Vorname">Eingabetabelle!$C$7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8" i="12" l="1"/>
  <c r="B4" i="12"/>
  <c r="A21" i="7"/>
  <c r="A21" i="10" l="1"/>
  <c r="H76" i="10" l="1"/>
  <c r="H75" i="7"/>
  <c r="B2" i="1" l="1"/>
  <c r="A20" i="9" l="1"/>
  <c r="H5" i="10" l="1"/>
  <c r="H5" i="7"/>
  <c r="H5" i="9"/>
  <c r="AB3" i="14" l="1"/>
  <c r="Q24" i="1" s="1"/>
  <c r="A3" i="14"/>
  <c r="Q35" i="1" l="1"/>
  <c r="L2" i="1" l="1"/>
  <c r="H14" i="7" s="1"/>
  <c r="A94" i="10" l="1"/>
  <c r="A88" i="10"/>
  <c r="H87" i="10"/>
  <c r="A81" i="10"/>
  <c r="A80" i="10"/>
  <c r="A78" i="10"/>
  <c r="A23" i="10"/>
  <c r="A17" i="10"/>
  <c r="A15" i="10"/>
  <c r="H14" i="10"/>
  <c r="A10" i="10"/>
  <c r="A9" i="10"/>
  <c r="A8" i="10"/>
  <c r="A94" i="7"/>
  <c r="A88" i="7"/>
  <c r="H87" i="7"/>
  <c r="A81" i="7"/>
  <c r="A80" i="7"/>
  <c r="A78" i="7"/>
  <c r="A33" i="7"/>
  <c r="A23" i="7"/>
  <c r="A17" i="7"/>
  <c r="A15" i="7"/>
  <c r="A10" i="7"/>
  <c r="A9" i="7"/>
  <c r="A8" i="7"/>
  <c r="A24" i="9"/>
  <c r="A21" i="9"/>
  <c r="A17" i="9"/>
  <c r="A15" i="9"/>
  <c r="H14" i="9"/>
  <c r="A10" i="9"/>
  <c r="A9" i="9"/>
  <c r="A8" i="9"/>
  <c r="A6" i="14" l="1"/>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61" i="14"/>
  <c r="A262" i="14"/>
  <c r="A263" i="14"/>
  <c r="A264" i="14"/>
  <c r="A265" i="14"/>
  <c r="A266" i="14"/>
  <c r="A267" i="14"/>
  <c r="A268" i="14"/>
  <c r="A269" i="14"/>
  <c r="A270" i="14"/>
  <c r="A271" i="14"/>
  <c r="A272" i="14"/>
  <c r="A273" i="14"/>
  <c r="A274" i="14"/>
  <c r="A275" i="14"/>
  <c r="A276" i="14"/>
  <c r="A277" i="14"/>
  <c r="A278" i="14"/>
  <c r="A279" i="14"/>
  <c r="A280" i="14"/>
  <c r="A281" i="14"/>
  <c r="A282" i="14"/>
  <c r="A283" i="14"/>
  <c r="A284" i="14"/>
  <c r="A285" i="14"/>
  <c r="A286" i="14"/>
  <c r="A287" i="14"/>
  <c r="A288" i="14"/>
  <c r="A289" i="14"/>
  <c r="A290" i="14"/>
  <c r="A291" i="14"/>
  <c r="A292" i="14"/>
  <c r="A293" i="14"/>
  <c r="A294" i="14"/>
  <c r="A295" i="14"/>
  <c r="A296" i="14"/>
  <c r="A297" i="14"/>
  <c r="A298" i="14"/>
  <c r="A299" i="14"/>
  <c r="A300" i="14"/>
  <c r="A301" i="14"/>
  <c r="A302" i="14"/>
  <c r="A303" i="14"/>
  <c r="A304" i="14"/>
  <c r="A305" i="14"/>
  <c r="A306" i="14"/>
  <c r="A307" i="14"/>
  <c r="A308" i="14"/>
  <c r="A309" i="14"/>
  <c r="A310" i="14"/>
  <c r="A311" i="14"/>
  <c r="A312" i="14"/>
  <c r="A313" i="14"/>
  <c r="A314" i="14"/>
  <c r="A315" i="14"/>
  <c r="A316" i="14"/>
  <c r="A317" i="14"/>
  <c r="A318" i="14"/>
  <c r="A319" i="14"/>
  <c r="A320" i="14"/>
  <c r="A321" i="14"/>
  <c r="A322" i="14"/>
  <c r="A323" i="14"/>
  <c r="A324" i="14"/>
  <c r="A325" i="14"/>
  <c r="A326" i="14"/>
  <c r="A327" i="14"/>
  <c r="A328" i="14"/>
  <c r="A329" i="14"/>
  <c r="A330" i="14"/>
  <c r="A331" i="14"/>
  <c r="A332" i="14"/>
  <c r="A333" i="14"/>
  <c r="A334" i="14"/>
  <c r="A335" i="14"/>
  <c r="A336" i="14"/>
  <c r="A337" i="14"/>
  <c r="A338" i="14"/>
  <c r="A339" i="14"/>
  <c r="A340" i="14"/>
  <c r="A341" i="14"/>
  <c r="A342" i="14"/>
  <c r="A343" i="14"/>
  <c r="A344" i="14"/>
  <c r="A345" i="14"/>
  <c r="A346" i="14"/>
  <c r="A347" i="14"/>
  <c r="A348" i="14"/>
  <c r="A349" i="14"/>
  <c r="A350" i="14"/>
  <c r="A351" i="14"/>
  <c r="A352" i="14"/>
  <c r="A353" i="14"/>
  <c r="A354" i="14"/>
  <c r="A355" i="14"/>
  <c r="A356" i="14"/>
  <c r="A357" i="14"/>
  <c r="A358" i="14"/>
  <c r="A359" i="14"/>
  <c r="A360" i="14"/>
  <c r="A361" i="14"/>
  <c r="A362" i="14"/>
  <c r="A363" i="14"/>
  <c r="A364" i="14"/>
  <c r="A365" i="14"/>
  <c r="A366" i="14"/>
  <c r="A367" i="14"/>
  <c r="A368" i="14"/>
  <c r="A369" i="14"/>
  <c r="A370" i="14"/>
  <c r="A371" i="14"/>
  <c r="A372" i="14"/>
  <c r="A373" i="14"/>
  <c r="A374" i="14"/>
  <c r="A375" i="14"/>
  <c r="A376" i="14"/>
  <c r="A377" i="14"/>
  <c r="A378" i="14"/>
  <c r="A379" i="14"/>
  <c r="A380" i="14"/>
  <c r="A381" i="14"/>
  <c r="A382" i="14"/>
  <c r="A383" i="14"/>
  <c r="A384" i="14"/>
  <c r="A385" i="14"/>
  <c r="A386" i="14"/>
  <c r="A387" i="14"/>
  <c r="A388" i="14"/>
  <c r="A389" i="14"/>
  <c r="A390" i="14"/>
  <c r="A391" i="14"/>
  <c r="A392" i="14"/>
  <c r="A393" i="14"/>
  <c r="A394" i="14"/>
  <c r="A395" i="14"/>
  <c r="A396" i="14"/>
  <c r="A397" i="14"/>
  <c r="A398" i="14"/>
  <c r="A399" i="14"/>
  <c r="A400" i="14"/>
  <c r="A401" i="14"/>
  <c r="A402" i="14"/>
  <c r="A403" i="14"/>
  <c r="A404" i="14"/>
  <c r="A405" i="14"/>
  <c r="A406" i="14"/>
  <c r="A407" i="14"/>
  <c r="A408" i="14"/>
  <c r="A409" i="14"/>
  <c r="A410" i="14"/>
  <c r="A411" i="14"/>
  <c r="A412" i="14"/>
  <c r="A413" i="14"/>
  <c r="A414" i="14"/>
  <c r="A415" i="14"/>
  <c r="A416" i="14"/>
  <c r="A417" i="14"/>
  <c r="A418" i="14"/>
  <c r="A419" i="14"/>
  <c r="A420" i="14"/>
  <c r="A421" i="14"/>
  <c r="A422" i="14"/>
  <c r="A423" i="14"/>
  <c r="A424" i="14"/>
  <c r="A425" i="14"/>
  <c r="A426" i="14"/>
  <c r="A427" i="14"/>
  <c r="A428" i="14"/>
  <c r="A429" i="14"/>
  <c r="A430" i="14"/>
  <c r="A431" i="14"/>
  <c r="A432" i="14"/>
  <c r="A433" i="14"/>
  <c r="A434" i="14"/>
  <c r="A435" i="14"/>
  <c r="A436" i="14"/>
  <c r="A437" i="14"/>
  <c r="A438" i="14"/>
  <c r="A439" i="14"/>
  <c r="A440" i="14"/>
  <c r="A441" i="14"/>
  <c r="A442" i="14"/>
  <c r="A443" i="14"/>
  <c r="A444" i="14"/>
  <c r="A445" i="14"/>
  <c r="A446" i="14"/>
  <c r="A447" i="14"/>
  <c r="A448" i="14"/>
  <c r="A5" i="14"/>
  <c r="A4" i="14"/>
  <c r="AB4" i="14" l="1"/>
  <c r="Q25" i="1" s="1"/>
  <c r="C9" i="3"/>
  <c r="Q30" i="1" s="1"/>
  <c r="K65" i="1" l="1"/>
  <c r="K66" i="1"/>
  <c r="K67" i="1"/>
  <c r="K68" i="1"/>
  <c r="K69" i="1"/>
  <c r="K70" i="1"/>
  <c r="K71" i="1"/>
  <c r="K72" i="1"/>
  <c r="K73" i="1"/>
  <c r="K64" i="1" l="1"/>
  <c r="K63" i="1"/>
  <c r="K21" i="1" l="1"/>
  <c r="D12" i="1" l="1"/>
  <c r="C6" i="3" l="1"/>
  <c r="Y64" i="1" l="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63" i="1"/>
  <c r="Q20" i="1" l="1"/>
  <c r="Q21" i="1"/>
  <c r="Q19" i="1"/>
  <c r="A19" i="10" l="1"/>
  <c r="A19" i="7"/>
  <c r="A19" i="9"/>
  <c r="C8" i="3" l="1"/>
</calcChain>
</file>

<file path=xl/comments1.xml><?xml version="1.0" encoding="utf-8"?>
<comments xmlns="http://schemas.openxmlformats.org/spreadsheetml/2006/main">
  <authors>
    <author>Schumacher, Jakob</author>
  </authors>
  <commentList>
    <comment ref="B27" authorId="0" shapeId="0">
      <text>
        <r>
          <rPr>
            <b/>
            <sz val="9"/>
            <color indexed="81"/>
            <rFont val="Segoe UI"/>
            <family val="2"/>
          </rPr>
          <t>Schumacher, Jakob:</t>
        </r>
        <r>
          <rPr>
            <sz val="9"/>
            <color indexed="81"/>
            <rFont val="Segoe UI"/>
            <family val="2"/>
          </rPr>
          <t xml:space="preserve">
Hier soll eine genaue Begründung für das Risiko erfolgen.
Beispiel 1: "Sie hatten Kontakt zu einer Fallperson am 6.3. im Club trompete"
Beispiel 2: "Sie waren vom 6.3. bis zum 8.3. in Norditalien und haben dort Kontakt zur einheimischen Bevölkerung gehabt."
</t>
        </r>
      </text>
    </comment>
  </commentList>
</comments>
</file>

<file path=xl/sharedStrings.xml><?xml version="1.0" encoding="utf-8"?>
<sst xmlns="http://schemas.openxmlformats.org/spreadsheetml/2006/main" count="504" uniqueCount="304">
  <si>
    <t>Nachname</t>
  </si>
  <si>
    <t>Vorname</t>
  </si>
  <si>
    <t>Geburtsdatum</t>
  </si>
  <si>
    <t>Straße</t>
  </si>
  <si>
    <t>Hausnummer</t>
  </si>
  <si>
    <t>Mobil</t>
  </si>
  <si>
    <t>Festnetz</t>
  </si>
  <si>
    <t>Maßnahmen</t>
  </si>
  <si>
    <t>Risikoeinstufung</t>
  </si>
  <si>
    <t>Krank</t>
  </si>
  <si>
    <t>Basisdaten</t>
  </si>
  <si>
    <t>Abstrich</t>
  </si>
  <si>
    <t>Anrede</t>
  </si>
  <si>
    <t>Sehr geehrte Familie</t>
  </si>
  <si>
    <t>Aufklärung Covid</t>
  </si>
  <si>
    <t>Abstand</t>
  </si>
  <si>
    <t>Quarantäne mdl.</t>
  </si>
  <si>
    <t>Quarantäne schriftl.</t>
  </si>
  <si>
    <t>Abstrich angefordert</t>
  </si>
  <si>
    <t>Nahrungsmittel angeordert</t>
  </si>
  <si>
    <t>Unterbringung angefordert</t>
  </si>
  <si>
    <t>Bezirksamt Reinickendorf von Berlin</t>
  </si>
  <si>
    <t>Abteilung Wirtschaft, Gesundheit, Integration und Soziales</t>
  </si>
  <si>
    <t>Gesundheitsamt</t>
  </si>
  <si>
    <t>Lagezentrum Reinickendorf</t>
  </si>
  <si>
    <t>Postanschrift: Bezirksamt Reinickendorf von Berlin, Abt. WiGesIntSoz, Gesundheitsamt,
Teichstraße 65 (Haus 4), 13407 Berlin</t>
  </si>
  <si>
    <t>Telefon</t>
  </si>
  <si>
    <t xml:space="preserve">(030) 90294-5500 </t>
  </si>
  <si>
    <t>An</t>
  </si>
  <si>
    <t>Fax</t>
  </si>
  <si>
    <t>(030) 90294-5049</t>
  </si>
  <si>
    <t>E-Mail</t>
  </si>
  <si>
    <t>coronavirus</t>
  </si>
  <si>
    <t>@reinickendorf.berlin.de</t>
  </si>
  <si>
    <t>Adresse ist nicht für E-Mails 
mit qualifizierter elektronischer Signatur geeignet.</t>
  </si>
  <si>
    <t>Internet</t>
  </si>
  <si>
    <t>www.berlin.de/reinickendorf/</t>
  </si>
  <si>
    <t>gesundheitsamt</t>
  </si>
  <si>
    <t>Datum</t>
  </si>
  <si>
    <t>2. Sie sind verpflichtet zweimal täglich (1x morgens und 1x abends) Fieber zu messen.</t>
  </si>
  <si>
    <t>3. Treten eine oder mehrere der folgenden Symptome auf, sind Sie verpflichtet, unverzüglich dem zuständigen Gesundheitsamt (Telefon 90294 5500) Meldung zu machen:</t>
  </si>
  <si>
    <t>· Erhöhte Temperatur: über 38,5 Grad</t>
  </si>
  <si>
    <t xml:space="preserve">· Unspezifische Allgemeinsymptome oder akute respiratorische Symptome jeder Schwere (z.B. Husten, Schnupfen, Halsschmerzen, Kopf – oder Gliederschmerzen etc.) </t>
  </si>
  <si>
    <t xml:space="preserve">4.    Bei einer drohenden unmittelbaren Gefahr von Leib und Leben ist die Quarantäne selbstständig aufzuheben. </t>
  </si>
  <si>
    <t>Für die Versorgung mit Lebensmitteln, die Leerung des Briefkastens und anderen notwendigen Dingen sind Bekannte, Freunde oder Firmen zu beauftragen, die die Gegenstände vor der Haustür abstellen. Sollte dies nicht möglich sein, so informieren Sie bitte rechtzeitig das Gesundheitsamt hierüber.</t>
  </si>
  <si>
    <t xml:space="preserve">Begründung </t>
  </si>
  <si>
    <t>Um die Verbreitung der hoch infektiösen Krankheit auszuschließen ist es zwingend erforderlich, dass Sie den Anweisungen des öffentlichen Gesundheitsdienstes und den Maßnahmen, die der Aufrechterhaltung eines ordnungsgemäßen Betriebes der Einrichtung oder der Sicherung des Unterbringungszweckes dienen, Folge leisten.</t>
  </si>
  <si>
    <t>Rechtsbehelfsbelehrung</t>
  </si>
  <si>
    <t xml:space="preserve">Gegen diesen Bescheid ist der Widerspruch zulässig. Er ist innerhalb eines Monats nach Bekanntgabe beim Bezirksamt Reinickendorf von Berlin, Gesundheitsamt, Teichstraße 65, Haus 4, 13407 Berlin zu erheben.  </t>
  </si>
  <si>
    <t>Sofortige Vollziehung</t>
  </si>
  <si>
    <t xml:space="preserve">Gemäß § 16 Abs. 8 IfSG haben Widerspruch und Anfechtungsklage gegen die o.g. Maßnahme keine aufschiebende Wirkung. Sie müssen meiner Anordnung also auch dann folge leisten, wenn Sie dagegen Widerspruch einlegen. Sie haben jedoch die Möglichkeit, beim Verwaltungsgericht Berlin, Kirchstr. 7, 10557 Berlin, die Anordnung der aufschiebenden Wirkung durch gerichtlichen Beschluss zu beantragen. </t>
  </si>
  <si>
    <t>Im Auftrag</t>
  </si>
  <si>
    <t>RECHTSGRUNDLAGEN</t>
  </si>
  <si>
    <t>Bundesgesetzblatt (BGBl.)</t>
  </si>
  <si>
    <t>Gesetz- und Verordnungsblatt für Berlin (GVBl.)</t>
  </si>
  <si>
    <t>Infektionsschutzgesetz</t>
  </si>
  <si>
    <t>Gesetz zur Verhütung und Bekämpfung von Infektionskrankheiten beim Menschen (Infektionsschutzgesetz - IfSG) vom 20. Juli 2000 (BGBl. I S. 1045), zuletzt geändert durch Artikel 30 G des Gesetzes vom 20. November 2019 (BGBl. I S. 1202)</t>
  </si>
  <si>
    <t>Grundgesetz</t>
  </si>
  <si>
    <t>Grundgesetz für die Bundesrepublik Deutschland vom 23. Mai 1949 (BGBl. Teil III, Gliederungsnr. 100-1), zuletzt geändert durch Artikel 1 des Gesetzes vom 15. November 2019 (BGBl. I S. 1546)</t>
  </si>
  <si>
    <t>Datenschutz</t>
  </si>
  <si>
    <t>Ihr Gesundheitsamt verarbeitet und speichert Ihre Daten auf Grundlage des folgenden Gesetzes: Infektionsschutzgesetz § 6 ff. Der Zweck der Verarbeitung ist es übertragbaren Krankheiten beim Menschen vorzubeugen, Infektionen frühzeitig zu erkennen und ihre Weiterverbreitung zu verhindern. Die für dieses Verfahren verantwortliche Person ist: Herr Brockhausen, Eichborndamm 215, 13437 Berlin, Tel: +49 30 90294 2240, Fax: +49 30 90294 2265, uwe.brockhausen@reinickendorf.berlin.de. Die für dieses Verfahren verantwortliche Datenschutzbeauftragte Person ist: Fr. Draack, Eichborndamm 215, 13437 Berlin, Tel: +49 30 90294 2054, Fax: +49 30 90294 2229, E-Mail: andrea.draack@reinickendorf.berlin.de. Es werden folgende Daten verarbeitet: Adressdaten, Krankheitsdaten. In bestimmten gesetzlich definierten Fällen werden Informationen weitergegeben an: das Landesamt für Gesundheit und Soziales, das Robert Koch-Institut, andere Gesundheitsämter, andere Veterinär- und Lebensmittelaufsichtsbehörden, Blutspendeeinrichtungen, Umweltämter, andere mit Katastrophenschutz beauftragten Einrichtungen. Sie haben das Recht auf Auskunft und Berichtigung der Daten. Eine Löschung, Einschränkung der Verarbeitung oder ein Widerspruch sind nur möglich, wenn dies dem zugrundeliegenden Gesetz nicht widerspricht. Sie können bei der zuständigen Aufsichtsbehörde (Berliner Beauftragte für Datenschutz und Informationsfreiheit, Friedrichstr. 219, 10969 Berlin, mailbox@datenschutz-berlin.de) eine Beschwerde einreichen.</t>
  </si>
  <si>
    <t>keine Angabe</t>
  </si>
  <si>
    <t>nächste freie Zeile</t>
  </si>
  <si>
    <t>Kontaktperson 1</t>
  </si>
  <si>
    <t>Kontaktperson 2</t>
  </si>
  <si>
    <t>Reiserückkehrer</t>
  </si>
  <si>
    <t>Kontakt-Kontakt</t>
  </si>
  <si>
    <t>Nicht krank</t>
  </si>
  <si>
    <t>Erkältungssymptome</t>
  </si>
  <si>
    <t>Notwendig und dringend</t>
  </si>
  <si>
    <t>Notwendig und nicht dringend</t>
  </si>
  <si>
    <t>Beginn Krankheitszeichen</t>
  </si>
  <si>
    <t>Letzte Mögliche Ansteckung</t>
  </si>
  <si>
    <t>Beruf</t>
  </si>
  <si>
    <t>Bearbeitung</t>
  </si>
  <si>
    <t>Alter</t>
  </si>
  <si>
    <t>AnredeText</t>
  </si>
  <si>
    <t>VerbText</t>
  </si>
  <si>
    <t>Quarantäneende</t>
  </si>
  <si>
    <t>I:\DATEN\Gesundheitsamt\Lagezentrum\Hotline\Daten\</t>
  </si>
  <si>
    <t>Baseurl</t>
  </si>
  <si>
    <t>Ordner</t>
  </si>
  <si>
    <t>Dateiname</t>
  </si>
  <si>
    <t>Endung</t>
  </si>
  <si>
    <t>.pdf</t>
  </si>
  <si>
    <t>Gesamt</t>
  </si>
  <si>
    <t>Für die Versorgung mit Lebensmitteln, die Leerung des Briefkastens und anderen notwendigen Dingen sind Bekannte, Freunde oder Firmen zu bitten.</t>
  </si>
  <si>
    <t>2. Treten eine oder mehrere der folgenden Symptome auf, sollen Sie unverzüglich dem zuständigen Gesundheitsamt (Telefon 90294 5500) Meldung machen:</t>
  </si>
  <si>
    <t>Erziehungsberechtigte/r
Vorname Name</t>
  </si>
  <si>
    <t>Sehr geehrter Herr</t>
  </si>
  <si>
    <t>Sehr geehrte Frau</t>
  </si>
  <si>
    <t>Kontaktpersonen</t>
  </si>
  <si>
    <t>PLZ</t>
  </si>
  <si>
    <t>Ort</t>
  </si>
  <si>
    <t>Zuständiges Gesundheitsamt</t>
  </si>
  <si>
    <t>Emailadresse zuständiges Gesundheitsamt</t>
  </si>
  <si>
    <t>Wie hat der Kontakt stattgefunden</t>
  </si>
  <si>
    <t>Vorgeschlagene Einteilung</t>
  </si>
  <si>
    <t>Letzter möglicher Kontaktzeitpunkt</t>
  </si>
  <si>
    <t>Telefonnummer</t>
  </si>
  <si>
    <t>Sofern Sie dieser Anordnung nicht nachkommen, kann gemäß § 30 Abs. 2 IfSG eine zwangsweise Absonderung in einer geeigneten Einrichtung oder einem ab­geschlossenen Teil einer geeigneten Einrichtung angeordnet werden. Vorsorglich weise ich auf die Strafvorschrift des § 75 IfSG hin, wonach derjenige, der einer vollziehbaren Anordnung nach § 30 Abs. 1 IfSG zuwiderhandelt, mit Freiheitsstrafe bis zu zwei Jahren oder mit Geldbuße bestraft wird. 
Mit freundlichen Grüßen</t>
  </si>
  <si>
    <t>Entschädigungsansprüche gemäß §§ 56 ff. IfSG für Arbeitnehmer</t>
  </si>
  <si>
    <t xml:space="preserve">Sollten Sie als Folge einer Quarantäneanordnung einen Verdienstausfall haben, können Sie dafür entschädigt werden. Ich verweise hierzu auf die §§ 56 ff. IfSG. Ob ein Entschädigungsanspruch besteht, entscheidet die Senatsverwaltung für Finanzen. Solange Ihr Arbeitsverhältnis dauert – längstens jedoch für sechs Wochen – wird Ihr Arbeitgeber die Entschädigung auszahlen. Für den Zeitraum, indem Sie krank sind bzw. waren, besteht kein Entschädigungsanspruch. Die ausgezahlten Beträge werden dem Arbeitgeber auf Antrag von der zuständigen Behörde erstattet. Der Antrag auf Erstattung der Ihnen ausgezahlten Entschädigung ist innerhalb von drei Monaten nach Beginn der Quarantäneanordnung von Ihrem Arbeitgeber bei der Senatsverwaltung für Finanzen per E-Mail an entschaedigung@senfin.berlin.de zu stellen. Dem Antrag ist eine Bescheinigung des Arbeitgebers über die Höhe des Verdienstausfalls und der gesetzlichen Abzüge beizufügen.
</t>
  </si>
  <si>
    <t>Ab hier nur Eingabe durch Gesundheitsaufseher bei Fällen</t>
  </si>
  <si>
    <t>Muster2</t>
  </si>
  <si>
    <t>Muster3</t>
  </si>
  <si>
    <t>Max3</t>
  </si>
  <si>
    <t>Max2</t>
  </si>
  <si>
    <t>0123456789</t>
  </si>
  <si>
    <t>Musterstr</t>
  </si>
  <si>
    <t>Maxstr</t>
  </si>
  <si>
    <t>Pankow</t>
  </si>
  <si>
    <t>Steglitz</t>
  </si>
  <si>
    <t>Charlottenburg-Wilmersdorf</t>
  </si>
  <si>
    <t xml:space="preserve"> hygiene@charlottenburg-wilmersdorf.de</t>
  </si>
  <si>
    <t>Friedrichshain-Kreuzberg</t>
  </si>
  <si>
    <t xml:space="preserve"> hygiene@ba-fk.berlin.de  </t>
  </si>
  <si>
    <t>Lichtenberg</t>
  </si>
  <si>
    <t xml:space="preserve"> hygiene@lichtenberg.berlin.de</t>
  </si>
  <si>
    <t>Marzahn-Hellersdorf</t>
  </si>
  <si>
    <t xml:space="preserve"> hygiene-mh@ba-mh.berlin.de</t>
  </si>
  <si>
    <t>Mitte</t>
  </si>
  <si>
    <t xml:space="preserve"> hygiene-umwelt@ba-mitte.berlin.de</t>
  </si>
  <si>
    <t>Neukölln</t>
  </si>
  <si>
    <t xml:space="preserve"> geshyg@bezirksamt-neukoelln.de</t>
  </si>
  <si>
    <t xml:space="preserve"> geshum@ba-pankow.berlin.de</t>
  </si>
  <si>
    <t>Reinickendorf</t>
  </si>
  <si>
    <t>Spandau</t>
  </si>
  <si>
    <t xml:space="preserve"> Ges2@ba-spandau.berlin.de</t>
  </si>
  <si>
    <t>Steglitz-Zehlendorf</t>
  </si>
  <si>
    <t xml:space="preserve"> hygiene@ba-sz.berlin.de</t>
  </si>
  <si>
    <t>Tempelhof-Schöneberg</t>
  </si>
  <si>
    <t xml:space="preserve"> hygiene@ba-ts.berlin.de</t>
  </si>
  <si>
    <t>Treptow-Köpenick</t>
  </si>
  <si>
    <t xml:space="preserve"> geshum@ba-tk.berlin.de</t>
  </si>
  <si>
    <t>Dieser Kontakt hat den Fall am 3. und 5. Märzt getroffen und sie waren zusammen in einer Shishabar</t>
  </si>
  <si>
    <t>Kontaktperson grad 1</t>
  </si>
  <si>
    <t xml:space="preserve"> </t>
  </si>
  <si>
    <t>Schwere Verständigung</t>
  </si>
  <si>
    <t>letzte Zeile Email</t>
  </si>
  <si>
    <t>Startzeile Email</t>
  </si>
  <si>
    <t>Email senden</t>
  </si>
  <si>
    <r>
      <t>Weitere Gesprächsnotizen</t>
    </r>
    <r>
      <rPr>
        <b/>
        <sz val="11"/>
        <color rgb="FFFF0000"/>
        <rFont val="Calibri"/>
        <family val="2"/>
        <scheme val="minor"/>
      </rPr>
      <t xml:space="preserve"> / ggf. Symptome beschreiben!</t>
    </r>
  </si>
  <si>
    <t>Begründung des Risikos</t>
  </si>
  <si>
    <t>nur Postleitzahl</t>
  </si>
  <si>
    <t>Gesundheitsamt Reinickendorf</t>
  </si>
  <si>
    <t>2. Sie sind verpflichtet zweimal täglich (1x morgens und 1x abends) Fieber zu messen und Rachen- oder Nasenabstriche auf Anweisung des Gesundheitsamtes zu dulden.</t>
  </si>
  <si>
    <t xml:space="preserve">Aufgrund Ihrer Erkrankung an COVID-19, sind Sie als Kranker im Sinne des § 2 Nr. 4 IfSG anzusehen. Kranker ist nach § 2 Nr. 4 IfSG eine Person, die an einer übertragbaren Krankheit erkrankt ist.
Gemäß § 28 Abs. 1 IfSG trifft die zuständige Behörde die notwendigen Schutzmaßnahmen, wenn Kranke, Krankheitsverdächtige oder Ausscheider festgestellt werden, insbesondere die in den 
§§ 29 bis 31 IfSG genannten Schutzmaßnahmen, soweit und solange es zur Verhinderung der Verbreitung übertragbarer Krankheiten erforderlich ist.
</t>
  </si>
  <si>
    <t>Da Sie als ansteckungsverdächtig für andere Personen gelten, wird die Absonderung gemäß 
§ 30 IfSG als geeignete Schutzmaßnahme angesehen und angeordnet. Nach unserem Ermessen handelt es sich bei der Absonderung um das mildeste Mittel, eine andere Maßnahme kommt zurzeit nicht in Betracht.
Um die Verbreitung der hoch infektiösen Krankheit auszuschließen ist es zwingend erforderlich, dass Sie den Anweisungen des öffentlichen Gesundheitsdienstes und den Maßnahmen, die der Aufrechterhaltung eines ordnungsgemäßen Betriebes der Einrichtung oder der Sicherung des Unterbringungszweckes dienen, Folge leisten.</t>
  </si>
  <si>
    <t xml:space="preserve">
Sofern Sie dieser Anordnung nicht nachkommen, kann gemäß § 30 Abs. 2 IfSG eine zwangsweise Absonderung in einer geeigneten Einrichtung oder einem abgeschlossenen Teil einer geeigneten Einrichtung angeordnet werden.
Vorsorglich weise ich auf die Strafvorschrift des § 75 IfSG hin, wonach derjenige, der einer vollziehbaren Anordnung nach § 30 Abs. 1 IfSG zuwiderhandelt, mit Freiheitsstrafe bis zu zwei Jahren oder mit Geldbuße bestraft wird.
</t>
  </si>
  <si>
    <t>Sehr geehrte Damen und Herren,</t>
  </si>
  <si>
    <t>Mit freundlichen Grüßen</t>
  </si>
  <si>
    <t>Arbeitgeber</t>
  </si>
  <si>
    <t>Arbeitgeber Straße</t>
  </si>
  <si>
    <t>Arbeitgeber Hausnummer</t>
  </si>
  <si>
    <t>Arbeitgeber nur Postleitzahl</t>
  </si>
  <si>
    <t>Arbeitgeber Ort</t>
  </si>
  <si>
    <t>Personalabteilung</t>
  </si>
  <si>
    <t>Hausnummer, ggf. Etage</t>
  </si>
  <si>
    <t>Schumacher, Jakob:</t>
  </si>
  <si>
    <t>Hier soll eine genaue Begründung für das Risiko erfolgen.</t>
  </si>
  <si>
    <t>Beispiel 1: "Sie hatten Kontakt zu einer Fallperson am 6.3. im Club trompete"</t>
  </si>
  <si>
    <t>Beispiel 2: "Sie waren vom 6.3. bis zum 8.3. in Norditalien und haben dort Kontakt zur einheimischen Bevölkerung gehabt."</t>
  </si>
  <si>
    <t>Empfehlung als Brief</t>
  </si>
  <si>
    <t>Übergabe anderes Gesundheitsamt</t>
  </si>
  <si>
    <t>anderes Gesundheitsamt</t>
  </si>
  <si>
    <t>Email GesAmt</t>
  </si>
  <si>
    <t>Email To GesAmt:</t>
  </si>
  <si>
    <t>Datensatz gespeichert</t>
  </si>
  <si>
    <t>Version:</t>
  </si>
  <si>
    <t>angemeldeter User</t>
  </si>
  <si>
    <t>Verlängerung QE</t>
  </si>
  <si>
    <t>Erziehungsberechtigter</t>
  </si>
  <si>
    <t>Email</t>
  </si>
  <si>
    <t>Verstaendigung</t>
  </si>
  <si>
    <t>BegruendungRisiko</t>
  </si>
  <si>
    <t>LetzteAnsteckung</t>
  </si>
  <si>
    <t>Kran</t>
  </si>
  <si>
    <t>AGStrasse</t>
  </si>
  <si>
    <t>AGHausnr</t>
  </si>
  <si>
    <t>AG_PLZ</t>
  </si>
  <si>
    <t>AG_Ort</t>
  </si>
  <si>
    <t>Gespraechsnotizen</t>
  </si>
  <si>
    <t>AufklaerungCovid</t>
  </si>
  <si>
    <t>QuarantaeneMdl</t>
  </si>
  <si>
    <t>Verlaengerung_QE</t>
  </si>
  <si>
    <t>EmpfehlungBrief</t>
  </si>
  <si>
    <t>QuarantaeneSchriftl</t>
  </si>
  <si>
    <t>AbstrichAngefordert</t>
  </si>
  <si>
    <t>UnterbringungAngefordert</t>
  </si>
  <si>
    <t>anderesGesAmt</t>
  </si>
  <si>
    <t>emailToanderesGesAmt</t>
  </si>
  <si>
    <t>DSsave</t>
  </si>
  <si>
    <t>Version</t>
  </si>
  <si>
    <t>Bearbeiter</t>
  </si>
  <si>
    <t>QuarantaeneEnde</t>
  </si>
  <si>
    <t>QuarantaeneVerlaengerung</t>
  </si>
  <si>
    <t>NahrungsmittelAngefordert</t>
  </si>
  <si>
    <t>ExcelDateiPfadName</t>
  </si>
  <si>
    <t>nachname</t>
  </si>
  <si>
    <t>vorname</t>
  </si>
  <si>
    <t>Strasse</t>
  </si>
  <si>
    <t>Hausnr</t>
  </si>
  <si>
    <t>BegruendungsRisiko</t>
  </si>
  <si>
    <t>BeginnKrank</t>
  </si>
  <si>
    <t>AGPLZ</t>
  </si>
  <si>
    <t>AGOrt</t>
  </si>
  <si>
    <t>VerlaengerungQE</t>
  </si>
  <si>
    <t>ExcelDateipfadname</t>
  </si>
  <si>
    <t>UebergabeGesAmt</t>
  </si>
  <si>
    <t>ExcelDateiname</t>
  </si>
  <si>
    <t>.xlsm</t>
  </si>
  <si>
    <t xml:space="preserve">Info vom </t>
  </si>
  <si>
    <t>Quarantäneverstoss</t>
  </si>
  <si>
    <t>Info_vom_Quarantäneverstoss</t>
  </si>
  <si>
    <t>Quarantaeneverstoss</t>
  </si>
  <si>
    <t>Info_vom_Quarantverstoss</t>
  </si>
  <si>
    <t>lfd-Nr</t>
  </si>
  <si>
    <t>Telefonnr</t>
  </si>
  <si>
    <t>zustaendGesamt</t>
  </si>
  <si>
    <t>emailToGesAmt</t>
  </si>
  <si>
    <t>LetzterKontakt</t>
  </si>
  <si>
    <t>WieKonktakt</t>
  </si>
  <si>
    <t>ErkrBeginnSymFieber</t>
  </si>
  <si>
    <t>ErkrBeginnSymSchmerzen</t>
  </si>
  <si>
    <t>ErkrBeginnSymHusten</t>
  </si>
  <si>
    <t>ErkrBeginnSymAtemstörung</t>
  </si>
  <si>
    <t>ErkrBeginnSymLungenentzuendung</t>
  </si>
  <si>
    <t>ErkrBeginnSymSchnupfen</t>
  </si>
  <si>
    <t>Geschlecht</t>
  </si>
  <si>
    <t>GoToKrkhaus</t>
  </si>
  <si>
    <t>Expositionsart</t>
  </si>
  <si>
    <t>Exposition</t>
  </si>
  <si>
    <t>ExpoKontaktart</t>
  </si>
  <si>
    <t>AbsonderungVon</t>
  </si>
  <si>
    <t>Absonderungbis</t>
  </si>
  <si>
    <t>letztermoeglKontakt</t>
  </si>
  <si>
    <t>KP nächste freie Zeile</t>
  </si>
  <si>
    <t>FamilienID</t>
  </si>
  <si>
    <t>chronLungenerkrankung</t>
  </si>
  <si>
    <t>Diabetes</t>
  </si>
  <si>
    <t>Krebserkrankung</t>
  </si>
  <si>
    <t>Leber</t>
  </si>
  <si>
    <t>Nervenerkrankung</t>
  </si>
  <si>
    <t>Nierenerkrankung</t>
  </si>
  <si>
    <t>Postpartumweniger6Wochen</t>
  </si>
  <si>
    <t>Schwangerschaft</t>
  </si>
  <si>
    <t>Trimester</t>
  </si>
  <si>
    <t>Chckbx7</t>
  </si>
  <si>
    <t>FamilieID</t>
  </si>
  <si>
    <t/>
  </si>
  <si>
    <t>Märkisch-Oderland</t>
  </si>
  <si>
    <t>gesundheitsamt@landkreismol.de</t>
  </si>
  <si>
    <t>Oberhavel/Oranienburg</t>
  </si>
  <si>
    <t>Cordula.glasow@oberhavel.de</t>
  </si>
  <si>
    <t>Bitte um Rückruf</t>
  </si>
  <si>
    <t>nein</t>
  </si>
  <si>
    <t>Um eine eventuelle Weiterverbreitung zu verhindern und um andere Personen vor Ansteckung zu schützen, sind besondere Schutzmaßnahmen sinnvoll.</t>
  </si>
  <si>
    <t>Wenn Sie einen wichtigen Beruf ausüben (z.B. Arbeit an kritische Infrastruktur, medizinisches Personal) besprechen Sie bitte mit Ihrem Arbeitgeber ob eine Arbeit trotz der Gefährdung sinnvoll ist. Gegebenenfalls ist eine Arbeit mit Barrieremaßnahmen und anderen Schutzmaßnahmen möglich.</t>
  </si>
  <si>
    <t>Rückruferbeten</t>
  </si>
  <si>
    <t>ja</t>
  </si>
  <si>
    <t>KP zustGesAmtEmail</t>
  </si>
  <si>
    <t>KP zustGesAmt</t>
  </si>
  <si>
    <t>Email KP</t>
  </si>
  <si>
    <t>HerzKreislauf</t>
  </si>
  <si>
    <t>ImmundefizienzHIV</t>
  </si>
  <si>
    <t>gesundheitsamt@l-os.de</t>
  </si>
  <si>
    <t>Gesundheitsamt@dahme-spreewald.de</t>
  </si>
  <si>
    <t>gesundheitsamt@potsdam-mittelmark.de</t>
  </si>
  <si>
    <t>Landeshauptstadt Potsdam</t>
  </si>
  <si>
    <t>Gesundheitsamt@Rathaus.Potsdam.de</t>
  </si>
  <si>
    <t>dr.anna.mueller@havelland.de</t>
  </si>
  <si>
    <t>gesundheitsamt@opr.de</t>
  </si>
  <si>
    <t>gesundheits-und-veterinaeramt@uckermark.de</t>
  </si>
  <si>
    <t>gsa@lkprignitz.de</t>
  </si>
  <si>
    <t>gesundheitsamt@teltow-flaeming.de</t>
  </si>
  <si>
    <t>Barnim</t>
  </si>
  <si>
    <t>gesundheitsamt@kvbarnim.de</t>
  </si>
  <si>
    <t>Oder- Spree</t>
  </si>
  <si>
    <t>Dahme- Spreewald</t>
  </si>
  <si>
    <t>Potsdam-Mittelmark</t>
  </si>
  <si>
    <t>Havelland</t>
  </si>
  <si>
    <t>Ostprignitz- Ruppin</t>
  </si>
  <si>
    <t>Uckermark</t>
  </si>
  <si>
    <t>Prignitz</t>
  </si>
  <si>
    <t>Teltow-Fläming</t>
  </si>
  <si>
    <t>Dieses Schreiben ist maschinell erstellt und auch ohne Unterschrift gültig.</t>
  </si>
  <si>
    <t>coronavirus@reinickendorf.berlin.de</t>
  </si>
  <si>
    <t>maske</t>
  </si>
  <si>
    <t>Veränderung</t>
  </si>
  <si>
    <t>Gesi</t>
  </si>
  <si>
    <t>zuständiger Kollege im Kopf eintragen//einblenden</t>
  </si>
  <si>
    <t>Lagezentrum</t>
  </si>
  <si>
    <t>Email an Fr. Dr. L-L und Schaltfläch e</t>
  </si>
  <si>
    <t>Uhrzeit</t>
  </si>
  <si>
    <t xml:space="preserve">Sehr geehrte Frau </t>
  </si>
  <si>
    <t>Postanschrift: Bezirksamt Reinickendorf von Berlin, Abt. WiGesIntSoz, Gesundheitsamt,</t>
  </si>
  <si>
    <t>Teichstraße 65 (Haus 4), 13407 Berlin</t>
  </si>
  <si>
    <t>1.5 Rel.3</t>
  </si>
  <si>
    <t xml:space="preserve">erstellt von : </t>
  </si>
  <si>
    <t>Jakob Schumacher, Ingmae Lampson</t>
  </si>
  <si>
    <t>Anpassungen/Layout:</t>
  </si>
  <si>
    <t>Thomas Kühne, Ines Walzcak</t>
  </si>
  <si>
    <t>copyright: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</si>
</sst>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24"/>
      <color theme="1"/>
      <name val="Calibri"/>
      <family val="2"/>
      <scheme val="minor"/>
    </font>
    <font>
      <sz val="9"/>
      <color indexed="81"/>
      <name val="Segoe UI"/>
      <family val="2"/>
    </font>
    <font>
      <b/>
      <sz val="9"/>
      <color indexed="81"/>
      <name val="Segoe UI"/>
      <family val="2"/>
    </font>
    <font>
      <b/>
      <sz val="16"/>
      <color theme="1"/>
      <name val="Calibri"/>
      <family val="2"/>
      <scheme val="minor"/>
    </font>
    <font>
      <sz val="14"/>
      <color theme="1"/>
      <name val="Calibri"/>
      <family val="2"/>
      <scheme val="minor"/>
    </font>
    <font>
      <sz val="8"/>
      <color theme="1"/>
      <name val="Calibri"/>
      <family val="2"/>
      <scheme val="minor"/>
    </font>
    <font>
      <sz val="11"/>
      <name val="Calibri"/>
      <family val="2"/>
      <scheme val="minor"/>
    </font>
    <font>
      <sz val="9"/>
      <color theme="1"/>
      <name val="Calibri"/>
      <family val="2"/>
      <scheme val="minor"/>
    </font>
    <font>
      <b/>
      <sz val="9"/>
      <color theme="1"/>
      <name val="Calibri"/>
      <family val="2"/>
      <scheme val="minor"/>
    </font>
    <font>
      <u/>
      <sz val="11"/>
      <color theme="10"/>
      <name val="Calibri"/>
      <family val="2"/>
      <scheme val="minor"/>
    </font>
    <font>
      <b/>
      <sz val="14"/>
      <color theme="1"/>
      <name val="Calibri"/>
      <family val="2"/>
      <scheme val="minor"/>
    </font>
    <font>
      <b/>
      <sz val="11"/>
      <color rgb="FFFF0000"/>
      <name val="Calibri"/>
      <family val="2"/>
      <scheme val="minor"/>
    </font>
    <font>
      <sz val="11"/>
      <color theme="4" tint="-0.249977111117893"/>
      <name val="Calibri"/>
      <family val="2"/>
      <scheme val="minor"/>
    </font>
    <font>
      <b/>
      <sz val="14"/>
      <color rgb="FFFF0000"/>
      <name val="Calibri"/>
      <family val="2"/>
      <scheme val="minor"/>
    </font>
    <font>
      <sz val="11"/>
      <color rgb="FF9C6500"/>
      <name val="Calibri"/>
      <family val="2"/>
      <scheme val="minor"/>
    </font>
    <font>
      <sz val="11"/>
      <color theme="0" tint="-4.9989318521683403E-2"/>
      <name val="Calibri"/>
      <family val="2"/>
      <scheme val="minor"/>
    </font>
    <font>
      <sz val="11"/>
      <color theme="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rgb="FFFFEB9C"/>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s>
  <cellStyleXfs count="3">
    <xf numFmtId="0" fontId="0" fillId="0" borderId="0"/>
    <xf numFmtId="0" fontId="11" fillId="0" borderId="0" applyNumberFormat="0" applyFill="0" applyBorder="0" applyAlignment="0" applyProtection="0"/>
    <xf numFmtId="0" fontId="16" fillId="4" borderId="0" applyNumberFormat="0" applyBorder="0" applyAlignment="0" applyProtection="0"/>
  </cellStyleXfs>
  <cellXfs count="101">
    <xf numFmtId="0" fontId="0" fillId="0" borderId="0" xfId="0"/>
    <xf numFmtId="14" fontId="0" fillId="0" borderId="0" xfId="0" applyNumberFormat="1"/>
    <xf numFmtId="0" fontId="1" fillId="0" borderId="0" xfId="0" applyFont="1"/>
    <xf numFmtId="0" fontId="5" fillId="0" borderId="0" xfId="0" applyFont="1"/>
    <xf numFmtId="0" fontId="6" fillId="0" borderId="0" xfId="0" applyFont="1"/>
    <xf numFmtId="0" fontId="7" fillId="0" borderId="0" xfId="0" applyFont="1"/>
    <xf numFmtId="0" fontId="0" fillId="0" borderId="0" xfId="0" applyFont="1"/>
    <xf numFmtId="0" fontId="0" fillId="0" borderId="0" xfId="0" applyAlignment="1">
      <alignment horizontal="left" indent="2"/>
    </xf>
    <xf numFmtId="0" fontId="0" fillId="0" borderId="0" xfId="0" applyFill="1"/>
    <xf numFmtId="0" fontId="2" fillId="0" borderId="0" xfId="0" applyFont="1" applyFill="1"/>
    <xf numFmtId="0" fontId="1" fillId="0" borderId="0" xfId="0" applyFont="1" applyFill="1"/>
    <xf numFmtId="49" fontId="0" fillId="0" borderId="1" xfId="0" applyNumberFormat="1" applyFill="1" applyBorder="1"/>
    <xf numFmtId="49" fontId="0" fillId="0" borderId="0" xfId="0" applyNumberFormat="1" applyFill="1" applyBorder="1"/>
    <xf numFmtId="49" fontId="0" fillId="0" borderId="0" xfId="0" applyNumberFormat="1" applyFill="1"/>
    <xf numFmtId="0" fontId="0" fillId="0" borderId="0" xfId="0" applyFill="1" applyAlignment="1">
      <alignment vertical="top"/>
    </xf>
    <xf numFmtId="0" fontId="8" fillId="0" borderId="0" xfId="0" applyFont="1" applyFill="1"/>
    <xf numFmtId="1" fontId="0" fillId="0" borderId="0" xfId="0" applyNumberFormat="1" applyFill="1"/>
    <xf numFmtId="49" fontId="0" fillId="0" borderId="1" xfId="0" applyNumberFormat="1" applyFill="1" applyBorder="1" applyAlignment="1">
      <alignment vertical="top" wrapText="1"/>
    </xf>
    <xf numFmtId="49" fontId="0" fillId="0" borderId="0" xfId="0" applyNumberFormat="1" applyFill="1" applyBorder="1" applyAlignment="1">
      <alignment vertical="top" wrapText="1"/>
    </xf>
    <xf numFmtId="0" fontId="0" fillId="0" borderId="0" xfId="0" applyAlignment="1">
      <alignment vertical="top"/>
    </xf>
    <xf numFmtId="14" fontId="0" fillId="0" borderId="1" xfId="0" applyNumberFormat="1" applyFill="1" applyBorder="1" applyAlignment="1">
      <alignment horizontal="left"/>
    </xf>
    <xf numFmtId="14" fontId="0" fillId="0" borderId="0" xfId="0" applyNumberFormat="1" applyFont="1" applyAlignment="1">
      <alignment horizontal="left"/>
    </xf>
    <xf numFmtId="49" fontId="0" fillId="0" borderId="0" xfId="0" applyNumberFormat="1"/>
    <xf numFmtId="0" fontId="9" fillId="0" borderId="0" xfId="0" applyFont="1"/>
    <xf numFmtId="0" fontId="10" fillId="0" borderId="0" xfId="0" applyFont="1"/>
    <xf numFmtId="0" fontId="1" fillId="2" borderId="2" xfId="0" applyFont="1" applyFill="1" applyBorder="1"/>
    <xf numFmtId="0" fontId="0" fillId="0" borderId="5" xfId="0" applyFill="1" applyBorder="1"/>
    <xf numFmtId="0" fontId="0" fillId="0" borderId="0" xfId="0" applyFill="1" applyBorder="1"/>
    <xf numFmtId="14" fontId="0" fillId="0" borderId="0" xfId="0" applyNumberFormat="1" applyFill="1" applyBorder="1"/>
    <xf numFmtId="0" fontId="0" fillId="0" borderId="6" xfId="0" applyFill="1" applyBorder="1"/>
    <xf numFmtId="0" fontId="11" fillId="0" borderId="0" xfId="1" applyFill="1" applyBorder="1"/>
    <xf numFmtId="0" fontId="12" fillId="0" borderId="0" xfId="0" applyFont="1" applyFill="1"/>
    <xf numFmtId="0" fontId="0" fillId="0" borderId="7" xfId="0" applyFill="1" applyBorder="1"/>
    <xf numFmtId="0" fontId="0" fillId="0" borderId="0" xfId="0" quotePrefix="1"/>
    <xf numFmtId="0" fontId="0" fillId="0" borderId="0" xfId="0" applyFill="1" applyAlignment="1">
      <alignment horizontal="left" vertical="top" wrapText="1"/>
    </xf>
    <xf numFmtId="0" fontId="1" fillId="0" borderId="0" xfId="0" applyFont="1" applyAlignment="1">
      <alignment vertical="top"/>
    </xf>
    <xf numFmtId="49" fontId="0" fillId="0" borderId="2" xfId="0" applyNumberFormat="1" applyFill="1" applyBorder="1"/>
    <xf numFmtId="0" fontId="7" fillId="0" borderId="0" xfId="0" applyFont="1" applyAlignment="1">
      <alignment horizontal="left"/>
    </xf>
    <xf numFmtId="0" fontId="7" fillId="0" borderId="0" xfId="0" applyFont="1" applyAlignment="1"/>
    <xf numFmtId="0" fontId="14" fillId="0" borderId="0" xfId="0" applyFont="1" applyFill="1" applyAlignment="1">
      <alignment vertical="top" wrapText="1"/>
    </xf>
    <xf numFmtId="0" fontId="14" fillId="0" borderId="0" xfId="0" applyFont="1" applyFill="1"/>
    <xf numFmtId="0" fontId="14" fillId="0" borderId="0" xfId="0" applyFont="1" applyFill="1" applyAlignment="1">
      <alignment wrapText="1"/>
    </xf>
    <xf numFmtId="0" fontId="15" fillId="2" borderId="2" xfId="0" applyFont="1" applyFill="1" applyBorder="1"/>
    <xf numFmtId="49" fontId="0" fillId="0" borderId="1" xfId="0" applyNumberFormat="1" applyFill="1" applyBorder="1" applyAlignment="1">
      <alignment wrapText="1"/>
    </xf>
    <xf numFmtId="0" fontId="15" fillId="0" borderId="0" xfId="0" applyFont="1" applyFill="1"/>
    <xf numFmtId="0" fontId="6" fillId="0" borderId="0" xfId="0" applyFont="1" applyFill="1"/>
    <xf numFmtId="0" fontId="0" fillId="5" borderId="0" xfId="0" applyFill="1" applyBorder="1"/>
    <xf numFmtId="0" fontId="17" fillId="0" borderId="0" xfId="0" applyFont="1" applyFill="1"/>
    <xf numFmtId="49" fontId="16" fillId="0" borderId="1" xfId="2" applyNumberFormat="1" applyFill="1" applyBorder="1"/>
    <xf numFmtId="14" fontId="16" fillId="0" borderId="1" xfId="2" applyNumberFormat="1" applyFill="1" applyBorder="1" applyAlignment="1">
      <alignment horizontal="left"/>
    </xf>
    <xf numFmtId="49" fontId="16" fillId="0" borderId="1" xfId="2" applyNumberFormat="1" applyFill="1" applyBorder="1" applyAlignment="1">
      <alignment horizontal="left"/>
    </xf>
    <xf numFmtId="0" fontId="16" fillId="0" borderId="1" xfId="2" applyFill="1" applyBorder="1"/>
    <xf numFmtId="49" fontId="16" fillId="0" borderId="1" xfId="2" applyNumberFormat="1" applyFill="1" applyBorder="1" applyAlignment="1">
      <alignment vertical="top" wrapText="1"/>
    </xf>
    <xf numFmtId="14" fontId="16" fillId="0" borderId="1" xfId="2" applyNumberFormat="1" applyFill="1" applyBorder="1" applyAlignment="1">
      <alignment horizontal="left" vertical="top" wrapText="1"/>
    </xf>
    <xf numFmtId="0" fontId="6" fillId="0" borderId="1" xfId="0" applyFont="1" applyBorder="1"/>
    <xf numFmtId="0" fontId="6" fillId="0" borderId="8" xfId="0" applyFont="1" applyFill="1" applyBorder="1"/>
    <xf numFmtId="0" fontId="1" fillId="0" borderId="0" xfId="0" applyFont="1" applyAlignment="1">
      <alignment horizontal="center"/>
    </xf>
    <xf numFmtId="0" fontId="0" fillId="0" borderId="0" xfId="0" applyProtection="1">
      <protection locked="0"/>
    </xf>
    <xf numFmtId="19" fontId="0" fillId="0" borderId="0" xfId="0" applyNumberFormat="1" applyProtection="1">
      <protection locked="0"/>
    </xf>
    <xf numFmtId="0" fontId="0" fillId="0" borderId="0" xfId="0" applyAlignment="1">
      <alignment horizontal="center" textRotation="75"/>
    </xf>
    <xf numFmtId="14" fontId="0" fillId="0" borderId="0" xfId="0" applyNumberFormat="1" applyProtection="1">
      <protection locked="0"/>
    </xf>
    <xf numFmtId="14" fontId="0" fillId="0" borderId="0" xfId="0" applyNumberFormat="1" applyFill="1"/>
    <xf numFmtId="14" fontId="0" fillId="0" borderId="1" xfId="0" applyNumberFormat="1" applyFill="1" applyBorder="1" applyAlignment="1">
      <alignment horizontal="left" vertical="center" wrapText="1"/>
    </xf>
    <xf numFmtId="0" fontId="0" fillId="0" borderId="0" xfId="0" applyAlignment="1" applyProtection="1">
      <alignment horizontal="center"/>
      <protection locked="0"/>
    </xf>
    <xf numFmtId="0" fontId="1" fillId="3" borderId="4" xfId="0" applyFont="1" applyFill="1" applyBorder="1" applyAlignment="1">
      <alignment textRotation="60" wrapText="1"/>
    </xf>
    <xf numFmtId="0" fontId="0" fillId="0" borderId="0" xfId="0" applyFill="1" applyAlignment="1">
      <alignment textRotation="60" wrapText="1"/>
    </xf>
    <xf numFmtId="0" fontId="1" fillId="6" borderId="3" xfId="0" applyFont="1" applyFill="1" applyBorder="1" applyAlignment="1">
      <alignment textRotation="60" wrapText="1"/>
    </xf>
    <xf numFmtId="0" fontId="1" fillId="6" borderId="2" xfId="0" applyFont="1" applyFill="1" applyBorder="1" applyAlignment="1">
      <alignment textRotation="60" wrapText="1"/>
    </xf>
    <xf numFmtId="1" fontId="0" fillId="0" borderId="0" xfId="0" applyNumberFormat="1" applyProtection="1">
      <protection locked="0"/>
    </xf>
    <xf numFmtId="0" fontId="0" fillId="0" borderId="0" xfId="0" applyFill="1" applyAlignment="1">
      <alignment wrapText="1"/>
    </xf>
    <xf numFmtId="0" fontId="0" fillId="0" borderId="0" xfId="0" applyProtection="1"/>
    <xf numFmtId="0" fontId="0" fillId="0" borderId="0" xfId="0" applyAlignment="1">
      <alignment horizontal="center"/>
    </xf>
    <xf numFmtId="0" fontId="0" fillId="7" borderId="0" xfId="0" applyFill="1" applyAlignment="1">
      <alignment horizontal="center"/>
    </xf>
    <xf numFmtId="0" fontId="0" fillId="0" borderId="0" xfId="0" applyFill="1" applyAlignment="1">
      <alignment horizontal="center" textRotation="75"/>
    </xf>
    <xf numFmtId="0" fontId="0" fillId="0" borderId="0" xfId="0" applyAlignment="1">
      <alignment horizontal="left" vertical="top" wrapText="1"/>
    </xf>
    <xf numFmtId="0" fontId="9" fillId="0" borderId="0" xfId="0" applyFont="1" applyAlignment="1">
      <alignment horizontal="left" vertical="top" wrapText="1"/>
    </xf>
    <xf numFmtId="0" fontId="0" fillId="0" borderId="0" xfId="0" applyAlignment="1">
      <alignment vertical="center"/>
    </xf>
    <xf numFmtId="0" fontId="0" fillId="0" borderId="0" xfId="0" applyFill="1" applyAlignment="1">
      <alignment vertical="top" wrapText="1"/>
    </xf>
    <xf numFmtId="49" fontId="0" fillId="0" borderId="0" xfId="0" applyNumberFormat="1" applyProtection="1">
      <protection locked="0"/>
    </xf>
    <xf numFmtId="0" fontId="0" fillId="0" borderId="0" xfId="0" applyFill="1" applyProtection="1"/>
    <xf numFmtId="0" fontId="11" fillId="0" borderId="0" xfId="1" applyFill="1"/>
    <xf numFmtId="0" fontId="18" fillId="5" borderId="0" xfId="0" applyFont="1" applyFill="1" applyBorder="1"/>
    <xf numFmtId="49" fontId="0" fillId="0" borderId="0" xfId="0" applyNumberFormat="1" applyAlignment="1">
      <alignment horizontal="center" textRotation="75"/>
    </xf>
    <xf numFmtId="49" fontId="1" fillId="0" borderId="0" xfId="0" applyNumberFormat="1" applyFont="1" applyAlignment="1">
      <alignment horizontal="center"/>
    </xf>
    <xf numFmtId="0" fontId="7" fillId="0" borderId="0" xfId="0" applyFont="1" applyAlignment="1">
      <alignment vertical="top" wrapText="1"/>
    </xf>
    <xf numFmtId="0" fontId="9" fillId="5" borderId="0" xfId="0" applyFont="1" applyFill="1" applyBorder="1" applyAlignment="1">
      <alignment horizontal="center"/>
    </xf>
    <xf numFmtId="0" fontId="0" fillId="0" borderId="0" xfId="0" applyAlignment="1">
      <alignment horizontal="left" vertical="top" wrapText="1"/>
    </xf>
    <xf numFmtId="0" fontId="0" fillId="0" borderId="0" xfId="0" applyAlignment="1">
      <alignment horizontal="left" wrapText="1"/>
    </xf>
    <xf numFmtId="0" fontId="7" fillId="0" borderId="0" xfId="0" applyFont="1" applyAlignment="1">
      <alignment horizontal="left" vertical="top" wrapText="1"/>
    </xf>
    <xf numFmtId="0" fontId="0" fillId="0" borderId="0" xfId="0" quotePrefix="1" applyAlignment="1">
      <alignment horizontal="left" vertical="top" wrapText="1"/>
    </xf>
    <xf numFmtId="0" fontId="1" fillId="0" borderId="0" xfId="0" applyFont="1" applyAlignment="1">
      <alignment horizontal="left" vertical="top" wrapText="1"/>
    </xf>
    <xf numFmtId="0" fontId="0" fillId="0" borderId="0" xfId="0" applyAlignment="1">
      <alignment horizontal="left" wrapText="1" indent="2"/>
    </xf>
    <xf numFmtId="0" fontId="0" fillId="0" borderId="0" xfId="0" applyAlignment="1">
      <alignment horizontal="center"/>
    </xf>
    <xf numFmtId="0" fontId="9" fillId="0" borderId="0" xfId="0" applyFont="1" applyAlignment="1">
      <alignment horizontal="left" vertical="top" wrapText="1"/>
    </xf>
    <xf numFmtId="0" fontId="0" fillId="0" borderId="0" xfId="0" applyFont="1" applyAlignment="1">
      <alignment horizontal="left" vertical="top" wrapText="1"/>
    </xf>
    <xf numFmtId="0" fontId="0" fillId="0" borderId="0" xfId="0" applyAlignment="1">
      <alignment horizontal="left"/>
    </xf>
    <xf numFmtId="0" fontId="1" fillId="0" borderId="0" xfId="0" applyFont="1" applyAlignment="1">
      <alignment horizontal="left" wrapText="1"/>
    </xf>
    <xf numFmtId="0" fontId="7" fillId="0" borderId="0" xfId="0" applyFont="1" applyAlignment="1">
      <alignment horizontal="left" wrapText="1"/>
    </xf>
    <xf numFmtId="0" fontId="0" fillId="0" borderId="0" xfId="0" applyFont="1" applyAlignment="1">
      <alignment horizontal="left" vertical="center" wrapText="1"/>
    </xf>
    <xf numFmtId="0" fontId="0" fillId="5" borderId="0" xfId="0" applyFill="1" applyBorder="1" applyProtection="1">
      <protection locked="0"/>
    </xf>
    <xf numFmtId="0" fontId="0" fillId="0" borderId="0" xfId="0" applyFill="1" applyProtection="1">
      <protection locked="0"/>
    </xf>
  </cellXfs>
  <cellStyles count="3">
    <cellStyle name="Link" xfId="1" builtinId="8"/>
    <cellStyle name="Neutral" xfId="2" builtinId="28"/>
    <cellStyle name="Standard" xfId="0" builtinId="0"/>
  </cellStyles>
  <dxfs count="4">
    <dxf>
      <font>
        <color theme="0"/>
      </font>
    </dxf>
    <dxf>
      <font>
        <color theme="0"/>
      </font>
    </dxf>
    <dxf>
      <font>
        <color rgb="FFFF0000"/>
      </font>
    </dxf>
    <dxf>
      <fill>
        <patternFill>
          <bgColor theme="5" tint="0.59996337778862885"/>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TIF"/></Relationships>
</file>

<file path=xl/drawings/_rels/drawing3.xml.rels><?xml version="1.0" encoding="UTF-8" standalone="yes"?>
<Relationships xmlns="http://schemas.openxmlformats.org/package/2006/relationships"><Relationship Id="rId1" Type="http://schemas.openxmlformats.org/officeDocument/2006/relationships/image" Target="../media/image33.wmf"/></Relationships>
</file>

<file path=xl/drawings/_rels/drawing4.xml.rels><?xml version="1.0" encoding="UTF-8" standalone="yes"?>
<Relationships xmlns="http://schemas.openxmlformats.org/package/2006/relationships"><Relationship Id="rId1" Type="http://schemas.openxmlformats.org/officeDocument/2006/relationships/image" Target="../media/image33.wmf"/></Relationships>
</file>

<file path=xl/drawings/_rels/drawing5.xml.rels><?xml version="1.0" encoding="UTF-8" standalone="yes"?>
<Relationships xmlns="http://schemas.openxmlformats.org/package/2006/relationships"><Relationship Id="rId1" Type="http://schemas.openxmlformats.org/officeDocument/2006/relationships/image" Target="../media/image33.w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30.emf"/><Relationship Id="rId3" Type="http://schemas.openxmlformats.org/officeDocument/2006/relationships/image" Target="../media/image19.emf"/><Relationship Id="rId21" Type="http://schemas.openxmlformats.org/officeDocument/2006/relationships/image" Target="../media/image5.emf"/><Relationship Id="rId7" Type="http://schemas.openxmlformats.org/officeDocument/2006/relationships/image" Target="../media/image15.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9.emf"/><Relationship Id="rId2" Type="http://schemas.openxmlformats.org/officeDocument/2006/relationships/image" Target="../media/image20.emf"/><Relationship Id="rId16" Type="http://schemas.openxmlformats.org/officeDocument/2006/relationships/image" Target="../media/image23.emf"/><Relationship Id="rId20" Type="http://schemas.openxmlformats.org/officeDocument/2006/relationships/image" Target="../media/image6.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24" Type="http://schemas.openxmlformats.org/officeDocument/2006/relationships/image" Target="../media/image28.emf"/><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7.emf"/><Relationship Id="rId28" Type="http://schemas.openxmlformats.org/officeDocument/2006/relationships/image" Target="../media/image32.emf"/><Relationship Id="rId10" Type="http://schemas.openxmlformats.org/officeDocument/2006/relationships/image" Target="../media/image12.emf"/><Relationship Id="rId19" Type="http://schemas.openxmlformats.org/officeDocument/2006/relationships/image" Target="../media/image25.emf"/><Relationship Id="rId4" Type="http://schemas.openxmlformats.org/officeDocument/2006/relationships/image" Target="../media/image18.emf"/><Relationship Id="rId9" Type="http://schemas.openxmlformats.org/officeDocument/2006/relationships/image" Target="../media/image13.emf"/><Relationship Id="rId14" Type="http://schemas.openxmlformats.org/officeDocument/2006/relationships/image" Target="../media/image8.emf"/><Relationship Id="rId22" Type="http://schemas.openxmlformats.org/officeDocument/2006/relationships/image" Target="../media/image26.emf"/><Relationship Id="rId27"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695325</xdr:colOff>
          <xdr:row>10</xdr:row>
          <xdr:rowOff>9525</xdr:rowOff>
        </xdr:from>
        <xdr:to>
          <xdr:col>5</xdr:col>
          <xdr:colOff>190500</xdr:colOff>
          <xdr:row>15</xdr:row>
          <xdr:rowOff>9525</xdr:rowOff>
        </xdr:to>
        <xdr:sp macro="" textlink="">
          <xdr:nvSpPr>
            <xdr:cNvPr id="5121" name="CommandButton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523875</xdr:colOff>
          <xdr:row>10</xdr:row>
          <xdr:rowOff>9525</xdr:rowOff>
        </xdr:from>
        <xdr:to>
          <xdr:col>9</xdr:col>
          <xdr:colOff>19050</xdr:colOff>
          <xdr:row>15</xdr:row>
          <xdr:rowOff>9525</xdr:rowOff>
        </xdr:to>
        <xdr:sp macro="" textlink="">
          <xdr:nvSpPr>
            <xdr:cNvPr id="5122" name="CommandButton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21</xdr:row>
          <xdr:rowOff>142875</xdr:rowOff>
        </xdr:from>
        <xdr:to>
          <xdr:col>6</xdr:col>
          <xdr:colOff>409575</xdr:colOff>
          <xdr:row>25</xdr:row>
          <xdr:rowOff>66675</xdr:rowOff>
        </xdr:to>
        <xdr:sp macro="" textlink="">
          <xdr:nvSpPr>
            <xdr:cNvPr id="5123" name="bt_programmclose" hidden="1">
              <a:extLst>
                <a:ext uri="{63B3BB69-23CF-44E3-9099-C40C66FF867C}">
                  <a14:compatExt spid="_x0000_s5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66674</xdr:colOff>
      <xdr:row>8</xdr:row>
      <xdr:rowOff>38099</xdr:rowOff>
    </xdr:from>
    <xdr:to>
      <xdr:col>10</xdr:col>
      <xdr:colOff>1740815</xdr:colOff>
      <xdr:row>16</xdr:row>
      <xdr:rowOff>133350</xdr:rowOff>
    </xdr:to>
    <xdr:pic>
      <xdr:nvPicPr>
        <xdr:cNvPr id="2" name="Grafik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6674" y="1771649"/>
          <a:ext cx="1674141" cy="16192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1114425</xdr:colOff>
          <xdr:row>2</xdr:row>
          <xdr:rowOff>114300</xdr:rowOff>
        </xdr:from>
        <xdr:to>
          <xdr:col>7</xdr:col>
          <xdr:colOff>752475</xdr:colOff>
          <xdr:row>3</xdr:row>
          <xdr:rowOff>152400</xdr:rowOff>
        </xdr:to>
        <xdr:sp macro="" textlink="">
          <xdr:nvSpPr>
            <xdr:cNvPr id="1027" name="Einstufung"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285750</xdr:rowOff>
        </xdr:from>
        <xdr:to>
          <xdr:col>7</xdr:col>
          <xdr:colOff>533400</xdr:colOff>
          <xdr:row>22</xdr:row>
          <xdr:rowOff>571500</xdr:rowOff>
        </xdr:to>
        <xdr:sp macro="" textlink="">
          <xdr:nvSpPr>
            <xdr:cNvPr id="1028" name="CheckBox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57150</xdr:rowOff>
        </xdr:from>
        <xdr:to>
          <xdr:col>7</xdr:col>
          <xdr:colOff>457200</xdr:colOff>
          <xdr:row>19</xdr:row>
          <xdr:rowOff>142875</xdr:rowOff>
        </xdr:to>
        <xdr:sp macro="" textlink="">
          <xdr:nvSpPr>
            <xdr:cNvPr id="1030" name="CheckBox2"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104775</xdr:rowOff>
        </xdr:from>
        <xdr:to>
          <xdr:col>7</xdr:col>
          <xdr:colOff>657225</xdr:colOff>
          <xdr:row>18</xdr:row>
          <xdr:rowOff>0</xdr:rowOff>
        </xdr:to>
        <xdr:sp macro="" textlink="">
          <xdr:nvSpPr>
            <xdr:cNvPr id="1031" name="CheckBox3"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7</xdr:col>
          <xdr:colOff>76200</xdr:colOff>
          <xdr:row>21</xdr:row>
          <xdr:rowOff>85725</xdr:rowOff>
        </xdr:to>
        <xdr:sp macro="" textlink="">
          <xdr:nvSpPr>
            <xdr:cNvPr id="1032" name="CheckBox4"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161925</xdr:rowOff>
        </xdr:from>
        <xdr:to>
          <xdr:col>6</xdr:col>
          <xdr:colOff>600075</xdr:colOff>
          <xdr:row>22</xdr:row>
          <xdr:rowOff>247650</xdr:rowOff>
        </xdr:to>
        <xdr:sp macro="" textlink="">
          <xdr:nvSpPr>
            <xdr:cNvPr id="1033" name="CheckBox5"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133350</xdr:rowOff>
        </xdr:from>
        <xdr:to>
          <xdr:col>7</xdr:col>
          <xdr:colOff>85725</xdr:colOff>
          <xdr:row>14</xdr:row>
          <xdr:rowOff>28575</xdr:rowOff>
        </xdr:to>
        <xdr:sp macro="" textlink="">
          <xdr:nvSpPr>
            <xdr:cNvPr id="1034" name="CheckBox6"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57150</xdr:rowOff>
        </xdr:from>
        <xdr:to>
          <xdr:col>7</xdr:col>
          <xdr:colOff>742950</xdr:colOff>
          <xdr:row>16</xdr:row>
          <xdr:rowOff>104775</xdr:rowOff>
        </xdr:to>
        <xdr:sp macro="" textlink="">
          <xdr:nvSpPr>
            <xdr:cNvPr id="1035" name="CheckBox7"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9525</xdr:rowOff>
        </xdr:from>
        <xdr:to>
          <xdr:col>3</xdr:col>
          <xdr:colOff>85725</xdr:colOff>
          <xdr:row>31</xdr:row>
          <xdr:rowOff>19050</xdr:rowOff>
        </xdr:to>
        <xdr:sp macro="" textlink="">
          <xdr:nvSpPr>
            <xdr:cNvPr id="1036" name="ComboBox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800100</xdr:colOff>
          <xdr:row>11</xdr:row>
          <xdr:rowOff>95250</xdr:rowOff>
        </xdr:to>
        <xdr:sp macro="" textlink="">
          <xdr:nvSpPr>
            <xdr:cNvPr id="1037" name="Abstrichanforderung"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133350</xdr:rowOff>
        </xdr:from>
        <xdr:to>
          <xdr:col>10</xdr:col>
          <xdr:colOff>800100</xdr:colOff>
          <xdr:row>8</xdr:row>
          <xdr:rowOff>57150</xdr:rowOff>
        </xdr:to>
        <xdr:sp macro="" textlink="">
          <xdr:nvSpPr>
            <xdr:cNvPr id="1038" name="Empfehlung"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171450</xdr:rowOff>
        </xdr:from>
        <xdr:to>
          <xdr:col>10</xdr:col>
          <xdr:colOff>800100</xdr:colOff>
          <xdr:row>9</xdr:row>
          <xdr:rowOff>95250</xdr:rowOff>
        </xdr:to>
        <xdr:sp macro="" textlink="">
          <xdr:nvSpPr>
            <xdr:cNvPr id="1039" name="Anordnung"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10</xdr:col>
          <xdr:colOff>800100</xdr:colOff>
          <xdr:row>13</xdr:row>
          <xdr:rowOff>95250</xdr:rowOff>
        </xdr:to>
        <xdr:sp macro="" textlink="">
          <xdr:nvSpPr>
            <xdr:cNvPr id="1040" name="Nahrungsanforder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0</xdr:rowOff>
        </xdr:from>
        <xdr:to>
          <xdr:col>10</xdr:col>
          <xdr:colOff>800100</xdr:colOff>
          <xdr:row>15</xdr:row>
          <xdr:rowOff>95250</xdr:rowOff>
        </xdr:to>
        <xdr:sp macro="" textlink="">
          <xdr:nvSpPr>
            <xdr:cNvPr id="1041" name="Unterbringunganforder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371475</xdr:rowOff>
        </xdr:from>
        <xdr:to>
          <xdr:col>10</xdr:col>
          <xdr:colOff>790575</xdr:colOff>
          <xdr:row>23</xdr:row>
          <xdr:rowOff>9525</xdr:rowOff>
        </xdr:to>
        <xdr:sp macro="" textlink="">
          <xdr:nvSpPr>
            <xdr:cNvPr id="1045" name="Save2Database"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609600</xdr:rowOff>
        </xdr:from>
        <xdr:to>
          <xdr:col>7</xdr:col>
          <xdr:colOff>400050</xdr:colOff>
          <xdr:row>23</xdr:row>
          <xdr:rowOff>190500</xdr:rowOff>
        </xdr:to>
        <xdr:sp macro="" textlink="">
          <xdr:nvSpPr>
            <xdr:cNvPr id="1047" name="CheckBox9"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5</xdr:row>
          <xdr:rowOff>76200</xdr:rowOff>
        </xdr:from>
        <xdr:to>
          <xdr:col>8</xdr:col>
          <xdr:colOff>104775</xdr:colOff>
          <xdr:row>6</xdr:row>
          <xdr:rowOff>180975</xdr:rowOff>
        </xdr:to>
        <xdr:sp macro="" textlink="">
          <xdr:nvSpPr>
            <xdr:cNvPr id="1048" name="Notwendigkeitscombo"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95250</xdr:rowOff>
        </xdr:from>
        <xdr:to>
          <xdr:col>10</xdr:col>
          <xdr:colOff>800100</xdr:colOff>
          <xdr:row>6</xdr:row>
          <xdr:rowOff>19050</xdr:rowOff>
        </xdr:to>
        <xdr:sp macro="" textlink="">
          <xdr:nvSpPr>
            <xdr:cNvPr id="1052" name="Excelspeichern"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33</xdr:row>
          <xdr:rowOff>171450</xdr:rowOff>
        </xdr:from>
        <xdr:to>
          <xdr:col>10</xdr:col>
          <xdr:colOff>609600</xdr:colOff>
          <xdr:row>35</xdr:row>
          <xdr:rowOff>47625</xdr:rowOff>
        </xdr:to>
        <xdr:sp macro="" textlink="">
          <xdr:nvSpPr>
            <xdr:cNvPr id="1053" name="Languagebox"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628650</xdr:colOff>
          <xdr:row>9</xdr:row>
          <xdr:rowOff>9525</xdr:rowOff>
        </xdr:from>
        <xdr:to>
          <xdr:col>3</xdr:col>
          <xdr:colOff>685800</xdr:colOff>
          <xdr:row>10</xdr:row>
          <xdr:rowOff>57150</xdr:rowOff>
        </xdr:to>
        <xdr:sp macro="" textlink="">
          <xdr:nvSpPr>
            <xdr:cNvPr id="1054" name="Anrede"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54</xdr:row>
          <xdr:rowOff>0</xdr:rowOff>
        </xdr:from>
        <xdr:to>
          <xdr:col>30</xdr:col>
          <xdr:colOff>57150</xdr:colOff>
          <xdr:row>56</xdr:row>
          <xdr:rowOff>171450</xdr:rowOff>
        </xdr:to>
        <xdr:sp macro="" textlink="">
          <xdr:nvSpPr>
            <xdr:cNvPr id="1056" name="KontaktVerschicken"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57</xdr:row>
          <xdr:rowOff>95250</xdr:rowOff>
        </xdr:from>
        <xdr:to>
          <xdr:col>31</xdr:col>
          <xdr:colOff>161925</xdr:colOff>
          <xdr:row>58</xdr:row>
          <xdr:rowOff>171450</xdr:rowOff>
        </xdr:to>
        <xdr:sp macro="" textlink="">
          <xdr:nvSpPr>
            <xdr:cNvPr id="1059" name="EmailSenden"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723900</xdr:colOff>
          <xdr:row>54</xdr:row>
          <xdr:rowOff>104775</xdr:rowOff>
        </xdr:from>
        <xdr:to>
          <xdr:col>10</xdr:col>
          <xdr:colOff>762000</xdr:colOff>
          <xdr:row>56</xdr:row>
          <xdr:rowOff>28575</xdr:rowOff>
        </xdr:to>
        <xdr:sp macro="" textlink="">
          <xdr:nvSpPr>
            <xdr:cNvPr id="1060" name="CovidAnordnung"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857250</xdr:colOff>
          <xdr:row>17</xdr:row>
          <xdr:rowOff>114300</xdr:rowOff>
        </xdr:to>
        <xdr:sp macro="" textlink="">
          <xdr:nvSpPr>
            <xdr:cNvPr id="1061" name="UebergabeAnderesGA"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1133475</xdr:colOff>
          <xdr:row>24</xdr:row>
          <xdr:rowOff>28575</xdr:rowOff>
        </xdr:from>
        <xdr:to>
          <xdr:col>8</xdr:col>
          <xdr:colOff>47625</xdr:colOff>
          <xdr:row>25</xdr:row>
          <xdr:rowOff>76200</xdr:rowOff>
        </xdr:to>
        <xdr:sp macro="" textlink="">
          <xdr:nvSpPr>
            <xdr:cNvPr id="1063" name="CheckBox8"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18</xdr:row>
          <xdr:rowOff>0</xdr:rowOff>
        </xdr:from>
        <xdr:to>
          <xdr:col>10</xdr:col>
          <xdr:colOff>885825</xdr:colOff>
          <xdr:row>19</xdr:row>
          <xdr:rowOff>104775</xdr:rowOff>
        </xdr:to>
        <xdr:sp macro="" textlink="">
          <xdr:nvSpPr>
            <xdr:cNvPr id="1066" name="ComboBox1"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26</xdr:row>
          <xdr:rowOff>19050</xdr:rowOff>
        </xdr:from>
        <xdr:to>
          <xdr:col>7</xdr:col>
          <xdr:colOff>571500</xdr:colOff>
          <xdr:row>27</xdr:row>
          <xdr:rowOff>9525</xdr:rowOff>
        </xdr:to>
        <xdr:sp macro="" textlink="">
          <xdr:nvSpPr>
            <xdr:cNvPr id="1068" name="CheckBox10"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104775</xdr:rowOff>
        </xdr:from>
        <xdr:to>
          <xdr:col>7</xdr:col>
          <xdr:colOff>561975</xdr:colOff>
          <xdr:row>28</xdr:row>
          <xdr:rowOff>95250</xdr:rowOff>
        </xdr:to>
        <xdr:sp macro="" textlink="">
          <xdr:nvSpPr>
            <xdr:cNvPr id="1069" name="CheckBox11" hidden="1">
              <a:extLst>
                <a:ext uri="{63B3BB69-23CF-44E3-9099-C40C66FF867C}">
                  <a14:compatExt spid="_x0000_s1069"/>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216877</xdr:colOff>
      <xdr:row>0</xdr:row>
      <xdr:rowOff>23446</xdr:rowOff>
    </xdr:from>
    <xdr:to>
      <xdr:col>8</xdr:col>
      <xdr:colOff>504092</xdr:colOff>
      <xdr:row>2</xdr:row>
      <xdr:rowOff>61546</xdr:rowOff>
    </xdr:to>
    <xdr:pic>
      <xdr:nvPicPr>
        <xdr:cNvPr id="2" name="Grafik 3" descr="coc_marke_10mm_rgb_sw">
          <a:extLst>
            <a:ext uri="{FF2B5EF4-FFF2-40B4-BE49-F238E27FC236}">
              <a16:creationId xmlns:a16="http://schemas.microsoft.com/office/drawing/2014/main" id="{00000000-0008-0000-03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64723" y="23446"/>
          <a:ext cx="1916723" cy="489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216877</xdr:colOff>
      <xdr:row>0</xdr:row>
      <xdr:rowOff>23446</xdr:rowOff>
    </xdr:from>
    <xdr:to>
      <xdr:col>8</xdr:col>
      <xdr:colOff>504092</xdr:colOff>
      <xdr:row>2</xdr:row>
      <xdr:rowOff>61546</xdr:rowOff>
    </xdr:to>
    <xdr:pic>
      <xdr:nvPicPr>
        <xdr:cNvPr id="3" name="Grafik 3" descr="coc_marke_10mm_rgb_sw">
          <a:extLst>
            <a:ext uri="{FF2B5EF4-FFF2-40B4-BE49-F238E27FC236}">
              <a16:creationId xmlns:a16="http://schemas.microsoft.com/office/drawing/2014/main" id="{00000000-0008-0000-03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88877" y="23446"/>
          <a:ext cx="186836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222739</xdr:colOff>
      <xdr:row>0</xdr:row>
      <xdr:rowOff>29308</xdr:rowOff>
    </xdr:from>
    <xdr:to>
      <xdr:col>8</xdr:col>
      <xdr:colOff>556846</xdr:colOff>
      <xdr:row>2</xdr:row>
      <xdr:rowOff>67408</xdr:rowOff>
    </xdr:to>
    <xdr:pic>
      <xdr:nvPicPr>
        <xdr:cNvPr id="3"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70585" y="29308"/>
          <a:ext cx="1916723" cy="489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70</xdr:row>
      <xdr:rowOff>29308</xdr:rowOff>
    </xdr:from>
    <xdr:to>
      <xdr:col>8</xdr:col>
      <xdr:colOff>556846</xdr:colOff>
      <xdr:row>72</xdr:row>
      <xdr:rowOff>67408</xdr:rowOff>
    </xdr:to>
    <xdr:pic>
      <xdr:nvPicPr>
        <xdr:cNvPr id="4" name="Grafik 3" descr="coc_marke_10mm_rgb_sw">
          <a:extLst>
            <a:ext uri="{FF2B5EF4-FFF2-40B4-BE49-F238E27FC236}">
              <a16:creationId xmlns:a16="http://schemas.microsoft.com/office/drawing/2014/main" id="{00000000-0008-0000-0400-000004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4118033"/>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216877</xdr:colOff>
      <xdr:row>0</xdr:row>
      <xdr:rowOff>23446</xdr:rowOff>
    </xdr:from>
    <xdr:to>
      <xdr:col>8</xdr:col>
      <xdr:colOff>504092</xdr:colOff>
      <xdr:row>2</xdr:row>
      <xdr:rowOff>61546</xdr:rowOff>
    </xdr:to>
    <xdr:pic>
      <xdr:nvPicPr>
        <xdr:cNvPr id="5" name="Grafik 3" descr="coc_marke_10mm_rgb_sw">
          <a:extLst>
            <a:ext uri="{FF2B5EF4-FFF2-40B4-BE49-F238E27FC236}">
              <a16:creationId xmlns:a16="http://schemas.microsoft.com/office/drawing/2014/main" id="{00000000-0008-0000-03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88877" y="23446"/>
          <a:ext cx="186836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0</xdr:row>
      <xdr:rowOff>29308</xdr:rowOff>
    </xdr:from>
    <xdr:to>
      <xdr:col>8</xdr:col>
      <xdr:colOff>556846</xdr:colOff>
      <xdr:row>2</xdr:row>
      <xdr:rowOff>67408</xdr:rowOff>
    </xdr:to>
    <xdr:pic>
      <xdr:nvPicPr>
        <xdr:cNvPr id="6"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9308"/>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70</xdr:row>
      <xdr:rowOff>29308</xdr:rowOff>
    </xdr:from>
    <xdr:to>
      <xdr:col>8</xdr:col>
      <xdr:colOff>556846</xdr:colOff>
      <xdr:row>72</xdr:row>
      <xdr:rowOff>67408</xdr:rowOff>
    </xdr:to>
    <xdr:pic>
      <xdr:nvPicPr>
        <xdr:cNvPr id="7" name="Grafik 6"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1698683"/>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222739</xdr:colOff>
      <xdr:row>0</xdr:row>
      <xdr:rowOff>29308</xdr:rowOff>
    </xdr:from>
    <xdr:to>
      <xdr:col>8</xdr:col>
      <xdr:colOff>556846</xdr:colOff>
      <xdr:row>2</xdr:row>
      <xdr:rowOff>67408</xdr:rowOff>
    </xdr:to>
    <xdr:pic>
      <xdr:nvPicPr>
        <xdr:cNvPr id="2" name="Grafik 3" descr="coc_marke_10mm_rgb_sw">
          <a:extLst>
            <a:ext uri="{FF2B5EF4-FFF2-40B4-BE49-F238E27FC236}">
              <a16:creationId xmlns:a16="http://schemas.microsoft.com/office/drawing/2014/main" id="{00000000-0008-0000-05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977619" y="29308"/>
          <a:ext cx="1919067" cy="487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71</xdr:row>
      <xdr:rowOff>29308</xdr:rowOff>
    </xdr:from>
    <xdr:to>
      <xdr:col>8</xdr:col>
      <xdr:colOff>556846</xdr:colOff>
      <xdr:row>73</xdr:row>
      <xdr:rowOff>67408</xdr:rowOff>
    </xdr:to>
    <xdr:pic>
      <xdr:nvPicPr>
        <xdr:cNvPr id="3" name="Grafik 3" descr="coc_marke_10mm_rgb_sw">
          <a:extLst>
            <a:ext uri="{FF2B5EF4-FFF2-40B4-BE49-F238E27FC236}">
              <a16:creationId xmlns:a16="http://schemas.microsoft.com/office/drawing/2014/main" id="{00000000-0008-0000-05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9308"/>
          <a:ext cx="1858107" cy="4939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0</xdr:row>
      <xdr:rowOff>29308</xdr:rowOff>
    </xdr:from>
    <xdr:to>
      <xdr:col>8</xdr:col>
      <xdr:colOff>556846</xdr:colOff>
      <xdr:row>2</xdr:row>
      <xdr:rowOff>67408</xdr:rowOff>
    </xdr:to>
    <xdr:pic>
      <xdr:nvPicPr>
        <xdr:cNvPr id="4"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9308"/>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222739</xdr:colOff>
      <xdr:row>71</xdr:row>
      <xdr:rowOff>29308</xdr:rowOff>
    </xdr:from>
    <xdr:to>
      <xdr:col>8</xdr:col>
      <xdr:colOff>556846</xdr:colOff>
      <xdr:row>73</xdr:row>
      <xdr:rowOff>67408</xdr:rowOff>
    </xdr:to>
    <xdr:pic>
      <xdr:nvPicPr>
        <xdr:cNvPr id="5" name="Grafik 3" descr="coc_marke_10mm_rgb_sw">
          <a:extLst>
            <a:ext uri="{FF2B5EF4-FFF2-40B4-BE49-F238E27FC236}">
              <a16:creationId xmlns:a16="http://schemas.microsoft.com/office/drawing/2014/main" id="{00000000-0008-0000-04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94739" y="25946833"/>
          <a:ext cx="1858107"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47" Type="http://schemas.openxmlformats.org/officeDocument/2006/relationships/image" Target="../media/image24.emf"/><Relationship Id="rId50" Type="http://schemas.openxmlformats.org/officeDocument/2006/relationships/control" Target="../activeX/activeX25.xml"/><Relationship Id="rId55" Type="http://schemas.openxmlformats.org/officeDocument/2006/relationships/image" Target="../media/image28.emf"/><Relationship Id="rId63" Type="http://schemas.openxmlformats.org/officeDocument/2006/relationships/image" Target="../media/image32.emf"/><Relationship Id="rId7" Type="http://schemas.openxmlformats.org/officeDocument/2006/relationships/vmlDrawing" Target="../drawings/vmlDrawing2.vml"/><Relationship Id="rId2" Type="http://schemas.openxmlformats.org/officeDocument/2006/relationships/hyperlink" Target="mailto:jakob.schumacher@reinickendorf.berlin.de" TargetMode="External"/><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5.emf"/><Relationship Id="rId41" Type="http://schemas.openxmlformats.org/officeDocument/2006/relationships/image" Target="../media/image21.emf"/><Relationship Id="rId54" Type="http://schemas.openxmlformats.org/officeDocument/2006/relationships/control" Target="../activeX/activeX27.xml"/><Relationship Id="rId62" Type="http://schemas.openxmlformats.org/officeDocument/2006/relationships/control" Target="../activeX/activeX31.xml"/><Relationship Id="rId1" Type="http://schemas.openxmlformats.org/officeDocument/2006/relationships/hyperlink" Target="mailto:jakob.schumacher@reinickendorf.berlin.de" TargetMode="External"/><Relationship Id="rId6" Type="http://schemas.openxmlformats.org/officeDocument/2006/relationships/drawing" Target="../drawings/drawing2.xml"/><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45" Type="http://schemas.openxmlformats.org/officeDocument/2006/relationships/image" Target="../media/image23.emf"/><Relationship Id="rId53" Type="http://schemas.openxmlformats.org/officeDocument/2006/relationships/image" Target="../media/image27.emf"/><Relationship Id="rId58" Type="http://schemas.openxmlformats.org/officeDocument/2006/relationships/control" Target="../activeX/activeX29.xml"/><Relationship Id="rId5" Type="http://schemas.openxmlformats.org/officeDocument/2006/relationships/printerSettings" Target="../printerSettings/printerSettings2.bin"/><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49" Type="http://schemas.openxmlformats.org/officeDocument/2006/relationships/image" Target="../media/image25.emf"/><Relationship Id="rId57" Type="http://schemas.openxmlformats.org/officeDocument/2006/relationships/image" Target="../media/image29.emf"/><Relationship Id="rId61" Type="http://schemas.openxmlformats.org/officeDocument/2006/relationships/image" Target="../media/image31.emf"/><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2.xml"/><Relationship Id="rId52" Type="http://schemas.openxmlformats.org/officeDocument/2006/relationships/control" Target="../activeX/activeX26.xml"/><Relationship Id="rId60" Type="http://schemas.openxmlformats.org/officeDocument/2006/relationships/control" Target="../activeX/activeX30.xml"/><Relationship Id="rId4" Type="http://schemas.openxmlformats.org/officeDocument/2006/relationships/hyperlink" Target="mailto:gesundheitsamt@teltow-flaeming.de" TargetMode="External"/><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48" Type="http://schemas.openxmlformats.org/officeDocument/2006/relationships/control" Target="../activeX/activeX24.xml"/><Relationship Id="rId56" Type="http://schemas.openxmlformats.org/officeDocument/2006/relationships/control" Target="../activeX/activeX28.xml"/><Relationship Id="rId64" Type="http://schemas.openxmlformats.org/officeDocument/2006/relationships/comments" Target="../comments1.xml"/><Relationship Id="rId8" Type="http://schemas.openxmlformats.org/officeDocument/2006/relationships/control" Target="../activeX/activeX4.xml"/><Relationship Id="rId51" Type="http://schemas.openxmlformats.org/officeDocument/2006/relationships/image" Target="../media/image26.emf"/><Relationship Id="rId3" Type="http://schemas.openxmlformats.org/officeDocument/2006/relationships/hyperlink" Target="mailto:jakob.schumacher@reinickendorf.berlin.de" TargetMode="External"/><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 Id="rId46" Type="http://schemas.openxmlformats.org/officeDocument/2006/relationships/control" Target="../activeX/activeX23.xml"/><Relationship Id="rId59" Type="http://schemas.openxmlformats.org/officeDocument/2006/relationships/image" Target="../media/image30.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dimension ref="B4:K18"/>
  <sheetViews>
    <sheetView tabSelected="1" workbookViewId="0">
      <selection activeCell="B28" sqref="B28"/>
    </sheetView>
  </sheetViews>
  <sheetFormatPr baseColWidth="10" defaultRowHeight="15" x14ac:dyDescent="0.25"/>
  <cols>
    <col min="1" max="10" width="11.42578125" style="46"/>
    <col min="11" max="11" width="26.7109375" style="46" customWidth="1"/>
    <col min="12" max="16384" width="11.42578125" style="46"/>
  </cols>
  <sheetData>
    <row r="4" spans="2:8" ht="31.5" x14ac:dyDescent="0.5">
      <c r="B4" s="9" t="str">
        <f>"Lagezentrum Coronavirus Reinickendorf "</f>
        <v xml:space="preserve">Lagezentrum Coronavirus Reinickendorf </v>
      </c>
    </row>
    <row r="9" spans="2:8" x14ac:dyDescent="0.25">
      <c r="H9" s="81"/>
    </row>
    <row r="18" spans="11:11" x14ac:dyDescent="0.25">
      <c r="K18" s="85" t="str">
        <f>"Version "&amp;Eingabetabelle!Q1</f>
        <v>Version 1.5 Rel.3</v>
      </c>
    </row>
  </sheetData>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5123" r:id="rId4" name="bt_programmclose">
          <controlPr defaultSize="0" autoLine="0" r:id="rId5">
            <anchor moveWithCells="1">
              <from>
                <xdr:col>4</xdr:col>
                <xdr:colOff>85725</xdr:colOff>
                <xdr:row>21</xdr:row>
                <xdr:rowOff>142875</xdr:rowOff>
              </from>
              <to>
                <xdr:col>6</xdr:col>
                <xdr:colOff>409575</xdr:colOff>
                <xdr:row>25</xdr:row>
                <xdr:rowOff>66675</xdr:rowOff>
              </to>
            </anchor>
          </controlPr>
        </control>
      </mc:Choice>
      <mc:Fallback>
        <control shapeId="5123" r:id="rId4" name="bt_programmclose"/>
      </mc:Fallback>
    </mc:AlternateContent>
    <mc:AlternateContent xmlns:mc="http://schemas.openxmlformats.org/markup-compatibility/2006">
      <mc:Choice Requires="x14">
        <control shapeId="5121" r:id="rId6" name="CommandButton1">
          <controlPr defaultSize="0" autoLine="0" r:id="rId7">
            <anchor moveWithCells="1">
              <from>
                <xdr:col>1</xdr:col>
                <xdr:colOff>695325</xdr:colOff>
                <xdr:row>10</xdr:row>
                <xdr:rowOff>9525</xdr:rowOff>
              </from>
              <to>
                <xdr:col>5</xdr:col>
                <xdr:colOff>190500</xdr:colOff>
                <xdr:row>15</xdr:row>
                <xdr:rowOff>9525</xdr:rowOff>
              </to>
            </anchor>
          </controlPr>
        </control>
      </mc:Choice>
      <mc:Fallback>
        <control shapeId="5121" r:id="rId6" name="CommandButton1"/>
      </mc:Fallback>
    </mc:AlternateContent>
    <mc:AlternateContent xmlns:mc="http://schemas.openxmlformats.org/markup-compatibility/2006">
      <mc:Choice Requires="x14">
        <control shapeId="5122" r:id="rId8" name="CommandButton2">
          <controlPr defaultSize="0" autoLine="0" r:id="rId9">
            <anchor moveWithCells="1">
              <from>
                <xdr:col>5</xdr:col>
                <xdr:colOff>523875</xdr:colOff>
                <xdr:row>10</xdr:row>
                <xdr:rowOff>9525</xdr:rowOff>
              </from>
              <to>
                <xdr:col>9</xdr:col>
                <xdr:colOff>19050</xdr:colOff>
                <xdr:row>15</xdr:row>
                <xdr:rowOff>9525</xdr:rowOff>
              </to>
            </anchor>
          </controlPr>
        </control>
      </mc:Choice>
      <mc:Fallback>
        <control shapeId="5122" r:id="rId8"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F105"/>
  <sheetViews>
    <sheetView zoomScaleNormal="100" workbookViewId="0">
      <selection activeCell="Q3" sqref="Q3"/>
    </sheetView>
  </sheetViews>
  <sheetFormatPr baseColWidth="10" defaultColWidth="11.5703125" defaultRowHeight="15" outlineLevelCol="1" x14ac:dyDescent="0.25"/>
  <cols>
    <col min="1" max="1" width="11.5703125" style="8"/>
    <col min="2" max="2" width="29.28515625" style="8" customWidth="1"/>
    <col min="3" max="3" width="32.140625" style="8" customWidth="1"/>
    <col min="4" max="4" width="11.5703125" style="8"/>
    <col min="5" max="5" width="17" style="8" customWidth="1"/>
    <col min="6" max="9" width="11.5703125" style="8"/>
    <col min="10" max="10" width="24.42578125" style="8" customWidth="1"/>
    <col min="11" max="11" width="27.140625" style="8" customWidth="1"/>
    <col min="12" max="12" width="24.28515625" style="8" customWidth="1"/>
    <col min="13" max="14" width="18.28515625" style="8" customWidth="1"/>
    <col min="15" max="15" width="3.7109375" style="8" customWidth="1"/>
    <col min="16" max="16" width="31.85546875" style="8" customWidth="1" outlineLevel="1"/>
    <col min="17" max="18" width="11.5703125" style="8" customWidth="1" outlineLevel="1"/>
    <col min="19" max="19" width="20.85546875" style="8" customWidth="1" outlineLevel="1"/>
    <col min="20" max="20" width="25" style="8" customWidth="1" outlineLevel="1"/>
    <col min="21" max="21" width="18.7109375" style="8" customWidth="1" outlineLevel="1"/>
    <col min="22" max="22" width="11.42578125" style="8" customWidth="1" outlineLevel="1"/>
    <col min="23" max="24" width="11.5703125" style="8" customWidth="1" outlineLevel="1"/>
    <col min="25" max="25" width="29.7109375" style="8" customWidth="1" outlineLevel="1"/>
    <col min="26" max="26" width="20.28515625" style="8" customWidth="1" outlineLevel="1"/>
    <col min="27" max="28" width="11.5703125" style="8" customWidth="1" outlineLevel="1"/>
    <col min="29" max="16384" width="11.5703125" style="8"/>
  </cols>
  <sheetData>
    <row r="1" spans="1:32" x14ac:dyDescent="0.25">
      <c r="A1" s="47">
        <v>1</v>
      </c>
      <c r="B1" s="47">
        <v>2</v>
      </c>
      <c r="C1" s="47">
        <v>3</v>
      </c>
      <c r="D1" s="47">
        <v>4</v>
      </c>
      <c r="E1" s="47">
        <v>5</v>
      </c>
      <c r="F1" s="47">
        <v>6</v>
      </c>
      <c r="G1" s="47">
        <v>7</v>
      </c>
      <c r="H1" s="47">
        <v>8</v>
      </c>
      <c r="I1" s="47">
        <v>9</v>
      </c>
      <c r="J1" s="47">
        <v>10</v>
      </c>
      <c r="K1" s="47">
        <v>11</v>
      </c>
      <c r="L1" s="47">
        <v>12</v>
      </c>
      <c r="M1" s="47">
        <v>13</v>
      </c>
      <c r="N1" s="47">
        <v>14</v>
      </c>
      <c r="O1" s="47">
        <v>15</v>
      </c>
      <c r="P1" t="s">
        <v>169</v>
      </c>
      <c r="Q1" s="22" t="s">
        <v>298</v>
      </c>
      <c r="S1" s="8" t="s">
        <v>61</v>
      </c>
      <c r="T1" s="8" t="s">
        <v>61</v>
      </c>
      <c r="U1" s="8" t="s">
        <v>69</v>
      </c>
      <c r="W1" s="8" t="s">
        <v>90</v>
      </c>
      <c r="Y1" s="8" t="s">
        <v>61</v>
      </c>
      <c r="AA1" s="8">
        <v>1</v>
      </c>
    </row>
    <row r="2" spans="1:32" ht="31.5" x14ac:dyDescent="0.5">
      <c r="B2" s="9" t="str">
        <f>"Lagezentrum Coronavirus Reinickendorf " &amp; "V_" &amp; Q1</f>
        <v>Lagezentrum Coronavirus Reinickendorf V_1.5 Rel.3</v>
      </c>
      <c r="L2" s="61">
        <f ca="1">TODAY()</f>
        <v>43923</v>
      </c>
      <c r="O2" s="47">
        <v>2</v>
      </c>
      <c r="S2" s="8" t="s">
        <v>63</v>
      </c>
      <c r="T2" s="8" t="s">
        <v>67</v>
      </c>
      <c r="U2" s="8" t="s">
        <v>70</v>
      </c>
      <c r="W2" s="8" t="s">
        <v>89</v>
      </c>
      <c r="Y2" s="8" t="s">
        <v>113</v>
      </c>
      <c r="Z2" s="8" t="s">
        <v>114</v>
      </c>
      <c r="AA2" s="8">
        <v>2</v>
      </c>
    </row>
    <row r="3" spans="1:32" ht="19.899999999999999" customHeight="1" x14ac:dyDescent="0.25">
      <c r="O3" s="47">
        <v>3</v>
      </c>
      <c r="P3" t="s">
        <v>170</v>
      </c>
      <c r="Q3"/>
      <c r="S3" s="8" t="s">
        <v>64</v>
      </c>
      <c r="T3" s="8" t="s">
        <v>68</v>
      </c>
      <c r="W3" s="8" t="s">
        <v>13</v>
      </c>
      <c r="X3" s="69"/>
      <c r="Y3" s="8" t="s">
        <v>115</v>
      </c>
      <c r="Z3" s="8" t="s">
        <v>116</v>
      </c>
      <c r="AA3" s="8">
        <v>3</v>
      </c>
    </row>
    <row r="4" spans="1:32" x14ac:dyDescent="0.25">
      <c r="B4" s="10" t="s">
        <v>10</v>
      </c>
      <c r="O4" s="47">
        <v>4</v>
      </c>
      <c r="P4" s="8" t="s">
        <v>7</v>
      </c>
      <c r="S4" s="8" t="s">
        <v>65</v>
      </c>
      <c r="Y4" s="8" t="s">
        <v>117</v>
      </c>
      <c r="Z4" s="8" t="s">
        <v>118</v>
      </c>
      <c r="AA4" s="8">
        <v>4</v>
      </c>
    </row>
    <row r="5" spans="1:32" x14ac:dyDescent="0.25">
      <c r="B5" s="40" t="s">
        <v>0</v>
      </c>
      <c r="C5" s="48" t="s">
        <v>250</v>
      </c>
      <c r="E5" s="8" t="s">
        <v>8</v>
      </c>
      <c r="L5" s="47">
        <v>5</v>
      </c>
      <c r="O5" s="47">
        <v>5</v>
      </c>
      <c r="P5" s="8" t="s">
        <v>14</v>
      </c>
      <c r="Q5" s="8" t="b">
        <v>0</v>
      </c>
      <c r="S5" s="8" t="s">
        <v>66</v>
      </c>
      <c r="Y5" s="8" t="s">
        <v>119</v>
      </c>
      <c r="Z5" s="8" t="s">
        <v>120</v>
      </c>
      <c r="AA5" s="8">
        <v>5</v>
      </c>
    </row>
    <row r="6" spans="1:32" x14ac:dyDescent="0.25">
      <c r="L6" s="47">
        <v>6</v>
      </c>
      <c r="O6" s="47">
        <v>6</v>
      </c>
      <c r="P6" s="8" t="s">
        <v>15</v>
      </c>
      <c r="Q6" s="8" t="b">
        <v>0</v>
      </c>
      <c r="Y6" s="8" t="s">
        <v>121</v>
      </c>
      <c r="Z6" s="8" t="s">
        <v>122</v>
      </c>
      <c r="AA6" s="8">
        <v>6</v>
      </c>
    </row>
    <row r="7" spans="1:32" x14ac:dyDescent="0.25">
      <c r="B7" s="40" t="s">
        <v>1</v>
      </c>
      <c r="C7" s="48" t="s">
        <v>250</v>
      </c>
      <c r="E7" s="8" t="s">
        <v>11</v>
      </c>
      <c r="L7" s="47">
        <v>7</v>
      </c>
      <c r="O7" s="47">
        <v>7</v>
      </c>
      <c r="P7" s="8" t="s">
        <v>16</v>
      </c>
      <c r="Q7" s="8" t="b">
        <v>0</v>
      </c>
      <c r="Y7" s="8" t="s">
        <v>123</v>
      </c>
      <c r="Z7" s="8" t="s">
        <v>124</v>
      </c>
      <c r="AA7" s="8">
        <v>7</v>
      </c>
    </row>
    <row r="8" spans="1:32" x14ac:dyDescent="0.25">
      <c r="C8" s="36"/>
      <c r="L8" s="47">
        <v>8</v>
      </c>
      <c r="O8" s="47">
        <v>8</v>
      </c>
      <c r="P8" s="8" t="s">
        <v>163</v>
      </c>
      <c r="Q8" s="8" t="b">
        <v>0</v>
      </c>
      <c r="T8" s="8" t="s">
        <v>256</v>
      </c>
      <c r="Y8" s="8" t="s">
        <v>111</v>
      </c>
      <c r="Z8" s="8" t="s">
        <v>125</v>
      </c>
      <c r="AA8" s="8">
        <v>8</v>
      </c>
    </row>
    <row r="9" spans="1:32" ht="30" x14ac:dyDescent="0.25">
      <c r="B9" s="41" t="s">
        <v>88</v>
      </c>
      <c r="C9" s="11"/>
      <c r="E9" s="77" t="s">
        <v>255</v>
      </c>
      <c r="F9" s="14"/>
      <c r="L9" s="47">
        <v>9</v>
      </c>
      <c r="O9" s="47">
        <v>9</v>
      </c>
      <c r="P9" s="8" t="s">
        <v>17</v>
      </c>
      <c r="Q9" s="8" t="b">
        <v>0</v>
      </c>
      <c r="T9" s="8" t="s">
        <v>260</v>
      </c>
      <c r="Y9" s="8" t="s">
        <v>126</v>
      </c>
      <c r="Z9" t="s">
        <v>287</v>
      </c>
      <c r="AA9" s="8">
        <v>9</v>
      </c>
      <c r="AE9" s="2"/>
    </row>
    <row r="10" spans="1:32" x14ac:dyDescent="0.25">
      <c r="E10" s="40" t="s">
        <v>78</v>
      </c>
      <c r="F10" s="20"/>
      <c r="L10" s="47">
        <v>10</v>
      </c>
      <c r="O10" s="47">
        <v>10</v>
      </c>
      <c r="P10" s="8" t="s">
        <v>18</v>
      </c>
      <c r="Q10" s="8" t="b">
        <v>0</v>
      </c>
      <c r="Y10" s="8" t="s">
        <v>127</v>
      </c>
      <c r="Z10" s="8" t="s">
        <v>128</v>
      </c>
      <c r="AA10" s="8">
        <v>10</v>
      </c>
      <c r="AE10" s="2"/>
      <c r="AF10" s="80"/>
    </row>
    <row r="11" spans="1:32" x14ac:dyDescent="0.25">
      <c r="B11" s="40" t="s">
        <v>12</v>
      </c>
      <c r="C11" s="11" t="s">
        <v>295</v>
      </c>
      <c r="E11" s="8" t="s">
        <v>171</v>
      </c>
      <c r="F11" s="61"/>
      <c r="L11" s="47">
        <v>11</v>
      </c>
      <c r="O11" s="47">
        <v>11</v>
      </c>
      <c r="P11" s="8" t="s">
        <v>19</v>
      </c>
      <c r="Q11" s="8" t="b">
        <v>0</v>
      </c>
      <c r="Y11" s="8" t="s">
        <v>129</v>
      </c>
      <c r="Z11" s="8" t="s">
        <v>130</v>
      </c>
      <c r="AA11" s="8">
        <v>11</v>
      </c>
    </row>
    <row r="12" spans="1:32" ht="18.75" x14ac:dyDescent="0.3">
      <c r="C12" s="13"/>
      <c r="D12" s="44" t="str">
        <f ca="1">IF((DATEDIF(Geburtsdatum,TODAY(),"Y")&lt;18),"Erziehungsberechtigte eintragen!!","")</f>
        <v/>
      </c>
      <c r="L12" s="47">
        <v>12</v>
      </c>
      <c r="O12" s="47">
        <v>12</v>
      </c>
      <c r="P12" s="8" t="s">
        <v>20</v>
      </c>
      <c r="Q12" s="8" t="b">
        <v>0</v>
      </c>
      <c r="Y12" s="8" t="s">
        <v>131</v>
      </c>
      <c r="Z12" s="8" t="s">
        <v>132</v>
      </c>
      <c r="AA12" s="8">
        <v>12</v>
      </c>
    </row>
    <row r="13" spans="1:32" x14ac:dyDescent="0.25">
      <c r="B13" s="40" t="s">
        <v>2</v>
      </c>
      <c r="C13" s="49"/>
      <c r="L13" s="47">
        <v>13</v>
      </c>
      <c r="O13" s="47">
        <v>13</v>
      </c>
      <c r="P13" s="8" t="s">
        <v>164</v>
      </c>
      <c r="Q13" s="8" t="b">
        <v>1</v>
      </c>
      <c r="Y13" s="8" t="s">
        <v>133</v>
      </c>
      <c r="Z13" s="8" t="s">
        <v>134</v>
      </c>
    </row>
    <row r="14" spans="1:32" x14ac:dyDescent="0.25">
      <c r="C14" s="12"/>
      <c r="E14" s="8" t="s">
        <v>7</v>
      </c>
      <c r="L14" s="47">
        <v>14</v>
      </c>
      <c r="O14" s="47">
        <v>14</v>
      </c>
      <c r="P14" s="8" t="s">
        <v>8</v>
      </c>
      <c r="Q14" s="8" t="s">
        <v>61</v>
      </c>
      <c r="Y14" s="8" t="s">
        <v>278</v>
      </c>
      <c r="Z14" s="8" t="s">
        <v>266</v>
      </c>
    </row>
    <row r="15" spans="1:32" x14ac:dyDescent="0.25">
      <c r="B15" s="40" t="s">
        <v>3</v>
      </c>
      <c r="C15" s="48" t="s">
        <v>250</v>
      </c>
      <c r="L15" s="47">
        <v>15</v>
      </c>
      <c r="O15" s="47">
        <v>15</v>
      </c>
      <c r="P15" s="8" t="s">
        <v>9</v>
      </c>
      <c r="Q15" s="8" t="s">
        <v>61</v>
      </c>
      <c r="Y15" s="8" t="s">
        <v>279</v>
      </c>
      <c r="Z15" s="8" t="s">
        <v>267</v>
      </c>
    </row>
    <row r="16" spans="1:32" x14ac:dyDescent="0.25">
      <c r="C16" s="12"/>
      <c r="L16" s="47">
        <v>16</v>
      </c>
      <c r="O16" s="47">
        <v>16</v>
      </c>
      <c r="P16" s="8" t="s">
        <v>11</v>
      </c>
      <c r="Q16" s="8" t="s">
        <v>70</v>
      </c>
      <c r="Y16" s="8" t="s">
        <v>280</v>
      </c>
      <c r="Z16" s="8" t="s">
        <v>268</v>
      </c>
    </row>
    <row r="17" spans="2:26" x14ac:dyDescent="0.25">
      <c r="B17" s="40" t="s">
        <v>158</v>
      </c>
      <c r="C17" s="50" t="s">
        <v>250</v>
      </c>
      <c r="L17" s="47">
        <v>17</v>
      </c>
      <c r="O17" s="47">
        <v>17</v>
      </c>
      <c r="P17" s="8" t="s">
        <v>138</v>
      </c>
      <c r="Q17" s="8" t="b">
        <v>0</v>
      </c>
      <c r="Y17" s="8" t="s">
        <v>269</v>
      </c>
      <c r="Z17" s="8" t="s">
        <v>270</v>
      </c>
    </row>
    <row r="18" spans="2:26" x14ac:dyDescent="0.25">
      <c r="C18" s="13"/>
      <c r="L18" s="47">
        <v>18</v>
      </c>
      <c r="O18" s="47">
        <v>18</v>
      </c>
      <c r="Y18" s="8" t="s">
        <v>281</v>
      </c>
      <c r="Z18" t="s">
        <v>271</v>
      </c>
    </row>
    <row r="19" spans="2:26" x14ac:dyDescent="0.25">
      <c r="B19" s="40" t="s">
        <v>144</v>
      </c>
      <c r="C19" s="48" t="s">
        <v>250</v>
      </c>
      <c r="L19" s="47">
        <v>19</v>
      </c>
      <c r="O19" s="47">
        <v>19</v>
      </c>
      <c r="P19" s="8" t="s">
        <v>75</v>
      </c>
      <c r="Q19" s="6" t="str">
        <f ca="1">IF(DATEDIF(C13,TODAY(),"Y")&gt;17,"Erwachsen","Kind")</f>
        <v>Erwachsen</v>
      </c>
      <c r="Y19" s="8" t="s">
        <v>282</v>
      </c>
      <c r="Z19" s="8" t="s">
        <v>272</v>
      </c>
    </row>
    <row r="20" spans="2:26" x14ac:dyDescent="0.25">
      <c r="C20" s="13"/>
      <c r="L20" s="47">
        <v>20</v>
      </c>
      <c r="O20" s="47">
        <v>20</v>
      </c>
      <c r="P20" s="8" t="s">
        <v>76</v>
      </c>
      <c r="Q20" s="6" t="str">
        <f ca="1">IF(DATEDIF(C13,TODAY(),"Y")&gt;17,"Sie","Ihr Kind")</f>
        <v>Sie</v>
      </c>
      <c r="Y20" s="8" t="s">
        <v>283</v>
      </c>
      <c r="Z20" s="8" t="s">
        <v>273</v>
      </c>
    </row>
    <row r="21" spans="2:26" x14ac:dyDescent="0.25">
      <c r="B21" s="8" t="s">
        <v>5</v>
      </c>
      <c r="C21" s="48"/>
      <c r="J21" s="8" t="s">
        <v>167</v>
      </c>
      <c r="K21" s="8" t="str">
        <f>Q28</f>
        <v>keine Angabe</v>
      </c>
      <c r="L21" s="47">
        <v>21</v>
      </c>
      <c r="O21" s="47">
        <v>21</v>
      </c>
      <c r="P21" s="8" t="s">
        <v>77</v>
      </c>
      <c r="Q21" s="6" t="str">
        <f ca="1">IF(DATEDIF(C13,TODAY(),"Y")&gt;17,"sind","ist")</f>
        <v>sind</v>
      </c>
      <c r="Y21" s="8" t="s">
        <v>284</v>
      </c>
      <c r="Z21" s="8" t="s">
        <v>274</v>
      </c>
    </row>
    <row r="22" spans="2:26" x14ac:dyDescent="0.25">
      <c r="C22" s="13"/>
      <c r="L22" s="47">
        <v>22</v>
      </c>
      <c r="O22" s="47">
        <v>22</v>
      </c>
      <c r="P22" s="8" t="s">
        <v>259</v>
      </c>
      <c r="Y22" s="8" t="s">
        <v>285</v>
      </c>
      <c r="Z22" t="s">
        <v>275</v>
      </c>
    </row>
    <row r="23" spans="2:26" ht="55.15" customHeight="1" x14ac:dyDescent="0.25">
      <c r="B23" s="8" t="s">
        <v>6</v>
      </c>
      <c r="C23" s="48" t="s">
        <v>250</v>
      </c>
      <c r="J23" s="13"/>
      <c r="L23" s="47">
        <v>23</v>
      </c>
      <c r="O23" s="47">
        <v>23</v>
      </c>
      <c r="P23" s="8" t="s">
        <v>62</v>
      </c>
      <c r="Q23" s="16">
        <v>3</v>
      </c>
      <c r="Y23" s="8" t="s">
        <v>251</v>
      </c>
      <c r="Z23" t="s">
        <v>252</v>
      </c>
    </row>
    <row r="24" spans="2:26" ht="18" customHeight="1" x14ac:dyDescent="0.25">
      <c r="C24" s="13"/>
      <c r="L24" s="47">
        <v>24</v>
      </c>
      <c r="O24" s="47">
        <v>24</v>
      </c>
      <c r="P24" s="8" t="s">
        <v>140</v>
      </c>
      <c r="Q24" s="8">
        <f>DatenKP!AB3</f>
        <v>3</v>
      </c>
      <c r="Y24" s="8" t="s">
        <v>253</v>
      </c>
      <c r="Z24" s="8" t="s">
        <v>254</v>
      </c>
    </row>
    <row r="25" spans="2:26" ht="18" customHeight="1" x14ac:dyDescent="0.25">
      <c r="B25" s="8" t="s">
        <v>31</v>
      </c>
      <c r="C25" s="51"/>
      <c r="L25" s="47">
        <v>25</v>
      </c>
      <c r="O25" s="47">
        <v>25</v>
      </c>
      <c r="P25" s="8" t="s">
        <v>139</v>
      </c>
      <c r="Q25" s="8">
        <f>DatenKP!AB4</f>
        <v>1</v>
      </c>
      <c r="Y25" s="8" t="s">
        <v>276</v>
      </c>
      <c r="Z25" s="8" t="s">
        <v>277</v>
      </c>
    </row>
    <row r="26" spans="2:26" ht="18" customHeight="1" x14ac:dyDescent="0.25">
      <c r="C26" s="13"/>
      <c r="L26" s="47">
        <v>26</v>
      </c>
      <c r="O26" s="47">
        <v>26</v>
      </c>
      <c r="P26" s="8" t="s">
        <v>141</v>
      </c>
      <c r="Q26" s="8" t="b">
        <v>1</v>
      </c>
    </row>
    <row r="27" spans="2:26" ht="18" customHeight="1" x14ac:dyDescent="0.25">
      <c r="B27" s="39" t="s">
        <v>143</v>
      </c>
      <c r="C27" s="52"/>
      <c r="L27" s="47">
        <v>27</v>
      </c>
      <c r="O27" s="47">
        <v>27</v>
      </c>
      <c r="P27" s="8" t="s">
        <v>165</v>
      </c>
      <c r="Q27" s="8" t="s">
        <v>266</v>
      </c>
    </row>
    <row r="28" spans="2:26" ht="18" customHeight="1" x14ac:dyDescent="0.25">
      <c r="C28" s="18"/>
      <c r="L28" s="47">
        <v>28</v>
      </c>
      <c r="O28" s="47">
        <v>28</v>
      </c>
      <c r="P28" s="8" t="s">
        <v>166</v>
      </c>
      <c r="Q28" s="8" t="s">
        <v>61</v>
      </c>
    </row>
    <row r="29" spans="2:26" ht="18" customHeight="1" x14ac:dyDescent="0.25">
      <c r="B29" s="14" t="s">
        <v>72</v>
      </c>
      <c r="C29" s="53"/>
      <c r="L29" s="47"/>
      <c r="O29" s="47">
        <v>29</v>
      </c>
      <c r="P29" s="8" t="s">
        <v>168</v>
      </c>
      <c r="Q29" s="8" t="b">
        <v>0</v>
      </c>
    </row>
    <row r="30" spans="2:26" ht="18" customHeight="1" x14ac:dyDescent="0.25">
      <c r="E30" s="8" t="s">
        <v>212</v>
      </c>
      <c r="F30" s="61"/>
      <c r="O30" s="47">
        <v>30</v>
      </c>
      <c r="P30" s="8" t="s">
        <v>208</v>
      </c>
      <c r="Q30" s="8" t="str">
        <f>Einstellungen!C9</f>
        <v>____.xlsm</v>
      </c>
    </row>
    <row r="31" spans="2:26" ht="18" customHeight="1" x14ac:dyDescent="0.25">
      <c r="B31" s="8" t="s">
        <v>9</v>
      </c>
      <c r="C31" s="18" t="s">
        <v>250</v>
      </c>
      <c r="O31" s="47"/>
      <c r="P31" s="8" t="s">
        <v>213</v>
      </c>
      <c r="Q31" s="8" t="b">
        <v>0</v>
      </c>
    </row>
    <row r="32" spans="2:26" ht="18" customHeight="1" x14ac:dyDescent="0.3">
      <c r="C32" s="18"/>
      <c r="O32" s="47"/>
      <c r="P32" s="8" t="s">
        <v>214</v>
      </c>
      <c r="Q32" s="61"/>
      <c r="R32" s="45"/>
    </row>
    <row r="33" spans="2:26" ht="21" customHeight="1" x14ac:dyDescent="0.25">
      <c r="B33" s="8" t="s">
        <v>71</v>
      </c>
      <c r="C33" s="62"/>
      <c r="O33" s="47"/>
      <c r="P33" s="8" t="s">
        <v>237</v>
      </c>
      <c r="Q33" s="8">
        <v>3</v>
      </c>
    </row>
    <row r="34" spans="2:26" ht="16.899999999999999" customHeight="1" x14ac:dyDescent="0.25">
      <c r="C34" s="18"/>
      <c r="P34" s="8" t="s">
        <v>262</v>
      </c>
      <c r="Q34" s="8" t="s">
        <v>61</v>
      </c>
    </row>
    <row r="35" spans="2:26" ht="15" customHeight="1" x14ac:dyDescent="0.25">
      <c r="B35" s="8" t="s">
        <v>73</v>
      </c>
      <c r="C35" s="17" t="s">
        <v>250</v>
      </c>
      <c r="P35" s="8" t="s">
        <v>261</v>
      </c>
      <c r="Q35" s="79">
        <f>VLOOKUP($Q$34,$Y$1:$Z$17,2,FALSE)</f>
        <v>0</v>
      </c>
    </row>
    <row r="36" spans="2:26" ht="15" customHeight="1" x14ac:dyDescent="0.25">
      <c r="C36" s="18"/>
    </row>
    <row r="37" spans="2:26" ht="15" customHeight="1" x14ac:dyDescent="0.25">
      <c r="B37" s="8" t="s">
        <v>152</v>
      </c>
      <c r="C37" s="17" t="s">
        <v>250</v>
      </c>
    </row>
    <row r="38" spans="2:26" ht="15" customHeight="1" x14ac:dyDescent="0.25">
      <c r="C38" s="18"/>
      <c r="Q38" s="8" t="s">
        <v>159</v>
      </c>
      <c r="Y38"/>
      <c r="Z38"/>
    </row>
    <row r="39" spans="2:26" ht="15" customHeight="1" x14ac:dyDescent="0.25">
      <c r="B39" s="8" t="s">
        <v>153</v>
      </c>
      <c r="C39" s="17" t="s">
        <v>250</v>
      </c>
      <c r="Q39" s="8" t="s">
        <v>160</v>
      </c>
      <c r="Y39" s="76"/>
      <c r="Z39"/>
    </row>
    <row r="40" spans="2:26" ht="15" customHeight="1" x14ac:dyDescent="0.25">
      <c r="C40" s="18"/>
      <c r="Q40" s="8" t="s">
        <v>161</v>
      </c>
    </row>
    <row r="41" spans="2:26" ht="15" customHeight="1" x14ac:dyDescent="0.25">
      <c r="B41" s="8" t="s">
        <v>154</v>
      </c>
      <c r="C41" s="17" t="s">
        <v>250</v>
      </c>
      <c r="Q41" s="8" t="s">
        <v>162</v>
      </c>
    </row>
    <row r="42" spans="2:26" ht="15" customHeight="1" x14ac:dyDescent="0.25">
      <c r="C42" s="18"/>
    </row>
    <row r="43" spans="2:26" ht="15" customHeight="1" x14ac:dyDescent="0.25">
      <c r="B43" s="8" t="s">
        <v>155</v>
      </c>
      <c r="C43" s="17" t="s">
        <v>250</v>
      </c>
    </row>
    <row r="44" spans="2:26" ht="15" customHeight="1" x14ac:dyDescent="0.25">
      <c r="C44" s="18"/>
    </row>
    <row r="45" spans="2:26" ht="15" customHeight="1" x14ac:dyDescent="0.25">
      <c r="B45" s="8" t="s">
        <v>156</v>
      </c>
      <c r="C45" s="17" t="s">
        <v>250</v>
      </c>
    </row>
    <row r="46" spans="2:26" x14ac:dyDescent="0.25">
      <c r="C46" s="13"/>
    </row>
    <row r="47" spans="2:26" ht="54.75" customHeight="1" x14ac:dyDescent="0.25">
      <c r="B47" s="34" t="s">
        <v>142</v>
      </c>
      <c r="C47" s="43" t="s">
        <v>250</v>
      </c>
    </row>
    <row r="49" spans="2:25" x14ac:dyDescent="0.25">
      <c r="B49" s="15"/>
    </row>
    <row r="50" spans="2:25" x14ac:dyDescent="0.25">
      <c r="B50" s="15"/>
    </row>
    <row r="51" spans="2:25" x14ac:dyDescent="0.25">
      <c r="B51" s="15"/>
    </row>
    <row r="52" spans="2:25" x14ac:dyDescent="0.25">
      <c r="C52" s="10"/>
    </row>
    <row r="53" spans="2:25" s="25" customFormat="1" ht="18.75" x14ac:dyDescent="0.3">
      <c r="B53" s="42" t="s">
        <v>103</v>
      </c>
    </row>
    <row r="61" spans="2:25" ht="18.75" x14ac:dyDescent="0.3">
      <c r="B61" s="31" t="s">
        <v>91</v>
      </c>
      <c r="C61" s="10"/>
      <c r="D61" s="8" t="s">
        <v>137</v>
      </c>
    </row>
    <row r="62" spans="2:25" s="65" customFormat="1" ht="97.5" customHeight="1" x14ac:dyDescent="0.25">
      <c r="B62" s="66" t="s">
        <v>0</v>
      </c>
      <c r="C62" s="67" t="s">
        <v>1</v>
      </c>
      <c r="D62" s="67" t="s">
        <v>99</v>
      </c>
      <c r="E62" s="67" t="s">
        <v>2</v>
      </c>
      <c r="F62" s="67" t="s">
        <v>3</v>
      </c>
      <c r="G62" s="67" t="s">
        <v>4</v>
      </c>
      <c r="H62" s="67" t="s">
        <v>92</v>
      </c>
      <c r="I62" s="67" t="s">
        <v>93</v>
      </c>
      <c r="J62" s="67" t="s">
        <v>94</v>
      </c>
      <c r="K62" s="67" t="s">
        <v>95</v>
      </c>
      <c r="L62" s="67" t="s">
        <v>96</v>
      </c>
      <c r="M62" s="67" t="s">
        <v>97</v>
      </c>
      <c r="N62" s="67" t="s">
        <v>98</v>
      </c>
      <c r="O62" s="64"/>
    </row>
    <row r="63" spans="2:25" ht="16.899999999999999" customHeight="1" x14ac:dyDescent="0.25">
      <c r="B63" s="26" t="s">
        <v>104</v>
      </c>
      <c r="C63" s="27" t="s">
        <v>107</v>
      </c>
      <c r="D63" s="12" t="s">
        <v>108</v>
      </c>
      <c r="E63" s="28">
        <v>29679</v>
      </c>
      <c r="F63" s="27" t="s">
        <v>110</v>
      </c>
      <c r="G63" s="27">
        <v>2</v>
      </c>
      <c r="H63" s="27">
        <v>22222</v>
      </c>
      <c r="I63" s="27" t="s">
        <v>111</v>
      </c>
      <c r="J63" s="27" t="s">
        <v>113</v>
      </c>
      <c r="K63" s="30" t="e">
        <f>LOOKUP(J63,$Y$1:$Z12)</f>
        <v>#N/A</v>
      </c>
      <c r="L63" s="27" t="s">
        <v>135</v>
      </c>
      <c r="M63" s="27" t="s">
        <v>136</v>
      </c>
      <c r="N63" s="28">
        <v>43895</v>
      </c>
      <c r="O63" s="29"/>
      <c r="Y63" s="8">
        <f>IF(B63&gt;"",ROW(),"")</f>
        <v>63</v>
      </c>
    </row>
    <row r="64" spans="2:25" ht="16.899999999999999" customHeight="1" x14ac:dyDescent="0.25">
      <c r="B64" s="26" t="s">
        <v>105</v>
      </c>
      <c r="C64" s="27" t="s">
        <v>106</v>
      </c>
      <c r="D64" s="12" t="s">
        <v>108</v>
      </c>
      <c r="E64" s="28">
        <v>29679</v>
      </c>
      <c r="F64" s="27" t="s">
        <v>109</v>
      </c>
      <c r="G64" s="27">
        <v>3</v>
      </c>
      <c r="H64" s="27">
        <v>33333</v>
      </c>
      <c r="I64" s="27" t="s">
        <v>112</v>
      </c>
      <c r="J64" s="27" t="s">
        <v>119</v>
      </c>
      <c r="K64" s="30" t="str">
        <f>LOOKUP(J64,$Y$1:$Z13)</f>
        <v xml:space="preserve"> hygiene-mh@ba-mh.berlin.de</v>
      </c>
      <c r="L64" s="27"/>
      <c r="M64" s="27"/>
      <c r="N64" s="27"/>
      <c r="O64" s="29"/>
      <c r="Y64" s="8">
        <f t="shared" ref="Y64:Y104" si="0">IF(B64&gt;"",ROW(),"")</f>
        <v>64</v>
      </c>
    </row>
    <row r="65" spans="2:25" ht="16.899999999999999" customHeight="1" x14ac:dyDescent="0.25">
      <c r="B65" s="26"/>
      <c r="C65" s="27"/>
      <c r="D65" s="27"/>
      <c r="E65" s="27"/>
      <c r="F65" s="27"/>
      <c r="G65" s="27"/>
      <c r="H65" s="27"/>
      <c r="I65" s="27"/>
      <c r="J65" s="27"/>
      <c r="K65" s="30" t="str">
        <f>IF(J65 ="","",LOOKUP(J65,$Y$1:$Z14))</f>
        <v/>
      </c>
      <c r="L65" s="27"/>
      <c r="M65" s="27"/>
      <c r="N65" s="27"/>
      <c r="O65" s="29"/>
      <c r="Y65" s="8" t="str">
        <f t="shared" si="0"/>
        <v/>
      </c>
    </row>
    <row r="66" spans="2:25" ht="16.899999999999999" customHeight="1" x14ac:dyDescent="0.25">
      <c r="B66" s="26"/>
      <c r="C66" s="27"/>
      <c r="D66" s="27"/>
      <c r="E66" s="27"/>
      <c r="F66" s="27"/>
      <c r="G66" s="27"/>
      <c r="H66" s="27"/>
      <c r="I66" s="27"/>
      <c r="J66" s="27"/>
      <c r="K66" s="30" t="e">
        <f>LOOKUP(J66,$Y$1:$Z15)</f>
        <v>#N/A</v>
      </c>
      <c r="L66" s="27"/>
      <c r="M66" s="27"/>
      <c r="N66" s="27"/>
      <c r="O66" s="29"/>
      <c r="Y66" s="8" t="str">
        <f t="shared" si="0"/>
        <v/>
      </c>
    </row>
    <row r="67" spans="2:25" ht="16.899999999999999" customHeight="1" x14ac:dyDescent="0.25">
      <c r="B67" s="26"/>
      <c r="C67" s="27"/>
      <c r="D67" s="27"/>
      <c r="E67" s="27"/>
      <c r="F67" s="27"/>
      <c r="G67" s="27"/>
      <c r="H67" s="27"/>
      <c r="I67" s="27"/>
      <c r="J67" s="27"/>
      <c r="K67" s="30" t="e">
        <f>LOOKUP(J67,$Y$1:$Z16)</f>
        <v>#N/A</v>
      </c>
      <c r="L67" s="27"/>
      <c r="M67" s="27"/>
      <c r="N67" s="27"/>
      <c r="O67" s="29"/>
      <c r="Y67" s="8" t="str">
        <f t="shared" si="0"/>
        <v/>
      </c>
    </row>
    <row r="68" spans="2:25" ht="16.899999999999999" customHeight="1" x14ac:dyDescent="0.25">
      <c r="B68" s="26"/>
      <c r="C68" s="27"/>
      <c r="D68" s="27"/>
      <c r="E68" s="27"/>
      <c r="F68" s="27"/>
      <c r="G68" s="27"/>
      <c r="H68" s="27"/>
      <c r="I68" s="27"/>
      <c r="J68" s="27"/>
      <c r="K68" s="30" t="e">
        <f>LOOKUP(J68,$Y$1:$Z17)</f>
        <v>#N/A</v>
      </c>
      <c r="L68" s="27"/>
      <c r="M68" s="27"/>
      <c r="N68" s="27"/>
      <c r="O68" s="29"/>
      <c r="Y68" s="8" t="str">
        <f t="shared" si="0"/>
        <v/>
      </c>
    </row>
    <row r="69" spans="2:25" ht="16.899999999999999" customHeight="1" x14ac:dyDescent="0.25">
      <c r="B69" s="26"/>
      <c r="C69" s="27"/>
      <c r="D69" s="27"/>
      <c r="E69" s="27"/>
      <c r="F69" s="27"/>
      <c r="G69" s="27"/>
      <c r="H69" s="27"/>
      <c r="I69" s="27"/>
      <c r="J69" s="27"/>
      <c r="K69" s="30" t="e">
        <f>LOOKUP(J69,$Y$1:$Z18)</f>
        <v>#N/A</v>
      </c>
      <c r="L69" s="27"/>
      <c r="M69" s="27"/>
      <c r="N69" s="27"/>
      <c r="O69" s="29"/>
      <c r="Y69" s="8" t="str">
        <f t="shared" si="0"/>
        <v/>
      </c>
    </row>
    <row r="70" spans="2:25" ht="16.899999999999999" customHeight="1" x14ac:dyDescent="0.25">
      <c r="B70" s="26"/>
      <c r="C70" s="27"/>
      <c r="D70" s="27"/>
      <c r="E70" s="27"/>
      <c r="F70" s="27"/>
      <c r="G70" s="27"/>
      <c r="H70" s="27"/>
      <c r="I70" s="27"/>
      <c r="J70" s="27"/>
      <c r="K70" s="30" t="e">
        <f>LOOKUP(J70,$Y$1:$Z19)</f>
        <v>#N/A</v>
      </c>
      <c r="L70" s="27"/>
      <c r="M70" s="27"/>
      <c r="N70" s="27"/>
      <c r="O70" s="29"/>
      <c r="Y70" s="8" t="str">
        <f t="shared" si="0"/>
        <v/>
      </c>
    </row>
    <row r="71" spans="2:25" ht="16.899999999999999" customHeight="1" x14ac:dyDescent="0.25">
      <c r="B71" s="26"/>
      <c r="C71" s="27"/>
      <c r="D71" s="27"/>
      <c r="E71" s="27"/>
      <c r="F71" s="27"/>
      <c r="G71" s="27"/>
      <c r="H71" s="27"/>
      <c r="I71" s="27"/>
      <c r="J71" s="27"/>
      <c r="K71" s="30" t="e">
        <f>LOOKUP(J71,$Y$1:$Z24)</f>
        <v>#N/A</v>
      </c>
      <c r="L71" s="27"/>
      <c r="M71" s="27"/>
      <c r="N71" s="27"/>
      <c r="O71" s="29"/>
      <c r="Y71" s="8" t="str">
        <f t="shared" si="0"/>
        <v/>
      </c>
    </row>
    <row r="72" spans="2:25" ht="16.899999999999999" customHeight="1" x14ac:dyDescent="0.25">
      <c r="B72" s="26"/>
      <c r="C72" s="27"/>
      <c r="D72" s="27"/>
      <c r="E72" s="27"/>
      <c r="F72" s="27"/>
      <c r="G72" s="27"/>
      <c r="H72" s="27"/>
      <c r="I72" s="27"/>
      <c r="J72" s="27"/>
      <c r="K72" s="30" t="e">
        <f>LOOKUP(J72,$Y$1:$Z25)</f>
        <v>#N/A</v>
      </c>
      <c r="L72" s="27"/>
      <c r="M72" s="27"/>
      <c r="N72" s="27"/>
      <c r="O72" s="29"/>
      <c r="Y72" s="8" t="str">
        <f t="shared" si="0"/>
        <v/>
      </c>
    </row>
    <row r="73" spans="2:25" ht="16.899999999999999" customHeight="1" x14ac:dyDescent="0.25">
      <c r="B73" s="26"/>
      <c r="C73" s="27"/>
      <c r="D73" s="27"/>
      <c r="E73" s="27"/>
      <c r="F73" s="27"/>
      <c r="G73" s="27"/>
      <c r="H73" s="27"/>
      <c r="I73" s="27"/>
      <c r="J73" s="27"/>
      <c r="K73" s="30" t="e">
        <f>LOOKUP(J73,$Y$1:$Z26)</f>
        <v>#N/A</v>
      </c>
      <c r="L73" s="27"/>
      <c r="M73" s="27"/>
      <c r="N73" s="27"/>
      <c r="O73" s="29"/>
      <c r="Y73" s="8" t="str">
        <f t="shared" si="0"/>
        <v/>
      </c>
    </row>
    <row r="74" spans="2:25" ht="16.899999999999999" customHeight="1" x14ac:dyDescent="0.25">
      <c r="B74" s="26"/>
      <c r="C74" s="27"/>
      <c r="D74" s="27"/>
      <c r="E74" s="27"/>
      <c r="F74" s="27"/>
      <c r="G74" s="27"/>
      <c r="H74" s="27"/>
      <c r="I74" s="27"/>
      <c r="J74" s="27"/>
      <c r="K74" s="27"/>
      <c r="L74" s="27"/>
      <c r="M74" s="27"/>
      <c r="N74" s="27"/>
      <c r="O74" s="29"/>
      <c r="Y74" s="8" t="str">
        <f t="shared" si="0"/>
        <v/>
      </c>
    </row>
    <row r="75" spans="2:25" ht="16.899999999999999" customHeight="1" x14ac:dyDescent="0.25">
      <c r="B75" s="26"/>
      <c r="C75" s="27"/>
      <c r="D75" s="27"/>
      <c r="E75" s="27"/>
      <c r="F75" s="27"/>
      <c r="G75" s="27"/>
      <c r="H75" s="27"/>
      <c r="I75" s="27"/>
      <c r="J75" s="27"/>
      <c r="K75" s="27"/>
      <c r="L75" s="27"/>
      <c r="M75" s="27"/>
      <c r="N75" s="27"/>
      <c r="O75" s="29"/>
      <c r="Y75" s="8" t="str">
        <f t="shared" si="0"/>
        <v/>
      </c>
    </row>
    <row r="76" spans="2:25" ht="16.899999999999999" customHeight="1" x14ac:dyDescent="0.25">
      <c r="B76" s="26"/>
      <c r="C76" s="27"/>
      <c r="D76" s="27"/>
      <c r="E76" s="27"/>
      <c r="F76" s="27"/>
      <c r="G76" s="27"/>
      <c r="H76" s="27"/>
      <c r="I76" s="27"/>
      <c r="J76" s="27"/>
      <c r="K76" s="27"/>
      <c r="L76" s="27"/>
      <c r="M76" s="27"/>
      <c r="N76" s="27"/>
      <c r="O76" s="29"/>
      <c r="Y76" s="8" t="str">
        <f t="shared" si="0"/>
        <v/>
      </c>
    </row>
    <row r="77" spans="2:25" ht="16.899999999999999" customHeight="1" x14ac:dyDescent="0.25">
      <c r="B77" s="26"/>
      <c r="C77" s="27"/>
      <c r="D77" s="27"/>
      <c r="E77" s="27"/>
      <c r="F77" s="27"/>
      <c r="G77" s="27"/>
      <c r="H77" s="27"/>
      <c r="I77" s="27"/>
      <c r="J77" s="27"/>
      <c r="K77" s="27"/>
      <c r="L77" s="27"/>
      <c r="M77" s="27"/>
      <c r="N77" s="27"/>
      <c r="O77" s="29"/>
      <c r="Y77" s="8" t="str">
        <f t="shared" si="0"/>
        <v/>
      </c>
    </row>
    <row r="78" spans="2:25" ht="16.899999999999999" customHeight="1" x14ac:dyDescent="0.25">
      <c r="B78" s="26"/>
      <c r="C78" s="27"/>
      <c r="D78" s="27"/>
      <c r="E78" s="27"/>
      <c r="F78" s="27"/>
      <c r="G78" s="27"/>
      <c r="H78" s="27"/>
      <c r="I78" s="27"/>
      <c r="J78" s="27"/>
      <c r="K78" s="27"/>
      <c r="L78" s="27"/>
      <c r="M78" s="27"/>
      <c r="N78" s="27"/>
      <c r="O78" s="29"/>
      <c r="Y78" s="8" t="str">
        <f t="shared" si="0"/>
        <v/>
      </c>
    </row>
    <row r="79" spans="2:25" ht="16.899999999999999" customHeight="1" x14ac:dyDescent="0.25">
      <c r="B79" s="26"/>
      <c r="C79" s="27"/>
      <c r="D79" s="27"/>
      <c r="E79" s="27"/>
      <c r="F79" s="27"/>
      <c r="G79" s="27"/>
      <c r="H79" s="27"/>
      <c r="I79" s="27"/>
      <c r="J79" s="27"/>
      <c r="K79" s="27"/>
      <c r="L79" s="27"/>
      <c r="M79" s="27"/>
      <c r="N79" s="27"/>
      <c r="O79" s="29"/>
      <c r="Y79" s="8" t="str">
        <f t="shared" si="0"/>
        <v/>
      </c>
    </row>
    <row r="80" spans="2:25" ht="16.899999999999999" customHeight="1" x14ac:dyDescent="0.25">
      <c r="B80" s="26"/>
      <c r="C80" s="27"/>
      <c r="D80" s="27"/>
      <c r="E80" s="27"/>
      <c r="F80" s="27"/>
      <c r="G80" s="27"/>
      <c r="H80" s="27"/>
      <c r="I80" s="27"/>
      <c r="J80" s="27"/>
      <c r="K80" s="27"/>
      <c r="L80" s="27"/>
      <c r="M80" s="27"/>
      <c r="N80" s="27"/>
      <c r="O80" s="29"/>
      <c r="Y80" s="8" t="str">
        <f t="shared" si="0"/>
        <v/>
      </c>
    </row>
    <row r="81" spans="2:25" ht="16.899999999999999" customHeight="1" x14ac:dyDescent="0.25">
      <c r="B81" s="26"/>
      <c r="C81" s="27"/>
      <c r="D81" s="27"/>
      <c r="E81" s="27"/>
      <c r="F81" s="27"/>
      <c r="G81" s="27"/>
      <c r="H81" s="27"/>
      <c r="I81" s="27"/>
      <c r="J81" s="27"/>
      <c r="K81" s="27"/>
      <c r="L81" s="27"/>
      <c r="M81" s="27"/>
      <c r="N81" s="27"/>
      <c r="O81" s="29"/>
      <c r="Y81" s="8" t="str">
        <f t="shared" si="0"/>
        <v/>
      </c>
    </row>
    <row r="82" spans="2:25" ht="16.899999999999999" customHeight="1" x14ac:dyDescent="0.25">
      <c r="B82" s="26"/>
      <c r="C82" s="27"/>
      <c r="D82" s="27"/>
      <c r="E82" s="27"/>
      <c r="F82" s="27"/>
      <c r="G82" s="27"/>
      <c r="H82" s="27"/>
      <c r="I82" s="27"/>
      <c r="J82" s="27"/>
      <c r="K82" s="27"/>
      <c r="L82" s="27"/>
      <c r="M82" s="27"/>
      <c r="N82" s="27"/>
      <c r="O82" s="29"/>
      <c r="Y82" s="8" t="str">
        <f t="shared" si="0"/>
        <v/>
      </c>
    </row>
    <row r="83" spans="2:25" ht="16.899999999999999" customHeight="1" x14ac:dyDescent="0.25">
      <c r="B83" s="26"/>
      <c r="C83" s="27"/>
      <c r="D83" s="27"/>
      <c r="E83" s="27"/>
      <c r="F83" s="27"/>
      <c r="G83" s="27"/>
      <c r="H83" s="27"/>
      <c r="I83" s="27"/>
      <c r="J83" s="27"/>
      <c r="K83" s="27"/>
      <c r="L83" s="27"/>
      <c r="M83" s="27"/>
      <c r="N83" s="27"/>
      <c r="O83" s="29"/>
      <c r="Y83" s="8" t="str">
        <f t="shared" si="0"/>
        <v/>
      </c>
    </row>
    <row r="84" spans="2:25" ht="16.899999999999999" customHeight="1" x14ac:dyDescent="0.25">
      <c r="B84" s="26"/>
      <c r="C84" s="27"/>
      <c r="D84" s="27"/>
      <c r="E84" s="27"/>
      <c r="F84" s="27"/>
      <c r="G84" s="27"/>
      <c r="H84" s="27"/>
      <c r="I84" s="27"/>
      <c r="J84" s="27"/>
      <c r="K84" s="27"/>
      <c r="L84" s="27"/>
      <c r="M84" s="27"/>
      <c r="N84" s="27"/>
      <c r="O84" s="29"/>
      <c r="Y84" s="8" t="str">
        <f t="shared" si="0"/>
        <v/>
      </c>
    </row>
    <row r="85" spans="2:25" ht="16.899999999999999" customHeight="1" x14ac:dyDescent="0.25">
      <c r="B85" s="26"/>
      <c r="C85" s="27"/>
      <c r="D85" s="27"/>
      <c r="E85" s="27"/>
      <c r="F85" s="27"/>
      <c r="G85" s="27"/>
      <c r="H85" s="27"/>
      <c r="I85" s="27"/>
      <c r="J85" s="27"/>
      <c r="K85" s="27"/>
      <c r="L85" s="27"/>
      <c r="M85" s="27"/>
      <c r="N85" s="27"/>
      <c r="O85" s="29"/>
      <c r="Y85" s="8" t="str">
        <f t="shared" si="0"/>
        <v/>
      </c>
    </row>
    <row r="86" spans="2:25" ht="16.899999999999999" customHeight="1" x14ac:dyDescent="0.25">
      <c r="B86" s="26"/>
      <c r="C86" s="27"/>
      <c r="D86" s="27"/>
      <c r="E86" s="27"/>
      <c r="F86" s="27"/>
      <c r="G86" s="27"/>
      <c r="H86" s="27"/>
      <c r="I86" s="27"/>
      <c r="J86" s="27"/>
      <c r="K86" s="27"/>
      <c r="L86" s="27"/>
      <c r="M86" s="27"/>
      <c r="N86" s="27"/>
      <c r="O86" s="29"/>
      <c r="Y86" s="8" t="str">
        <f t="shared" si="0"/>
        <v/>
      </c>
    </row>
    <row r="87" spans="2:25" ht="16.899999999999999" customHeight="1" x14ac:dyDescent="0.25">
      <c r="B87" s="26"/>
      <c r="C87" s="27"/>
      <c r="D87" s="27"/>
      <c r="E87" s="27"/>
      <c r="F87" s="27"/>
      <c r="G87" s="27"/>
      <c r="H87" s="27"/>
      <c r="I87" s="27"/>
      <c r="J87" s="27"/>
      <c r="K87" s="27"/>
      <c r="L87" s="27"/>
      <c r="M87" s="27"/>
      <c r="N87" s="27"/>
      <c r="O87" s="29"/>
      <c r="Y87" s="8" t="str">
        <f t="shared" si="0"/>
        <v/>
      </c>
    </row>
    <row r="88" spans="2:25" ht="16.899999999999999" customHeight="1" x14ac:dyDescent="0.25">
      <c r="B88" s="26"/>
      <c r="C88" s="27"/>
      <c r="D88" s="27"/>
      <c r="E88" s="27"/>
      <c r="F88" s="27"/>
      <c r="G88" s="27"/>
      <c r="H88" s="27"/>
      <c r="I88" s="27"/>
      <c r="J88" s="27"/>
      <c r="K88" s="27"/>
      <c r="L88" s="27"/>
      <c r="M88" s="27"/>
      <c r="N88" s="27"/>
      <c r="O88" s="29"/>
      <c r="Y88" s="8" t="str">
        <f t="shared" si="0"/>
        <v/>
      </c>
    </row>
    <row r="89" spans="2:25" ht="16.899999999999999" customHeight="1" x14ac:dyDescent="0.25">
      <c r="B89" s="26"/>
      <c r="C89" s="27"/>
      <c r="D89" s="27"/>
      <c r="E89" s="27"/>
      <c r="F89" s="27"/>
      <c r="G89" s="27"/>
      <c r="H89" s="27"/>
      <c r="I89" s="27"/>
      <c r="J89" s="27"/>
      <c r="K89" s="27"/>
      <c r="L89" s="27"/>
      <c r="M89" s="27"/>
      <c r="N89" s="27"/>
      <c r="O89" s="29"/>
      <c r="Y89" s="8" t="str">
        <f t="shared" si="0"/>
        <v/>
      </c>
    </row>
    <row r="90" spans="2:25" ht="16.899999999999999" customHeight="1" x14ac:dyDescent="0.25">
      <c r="B90" s="26"/>
      <c r="C90" s="27"/>
      <c r="D90" s="27"/>
      <c r="E90" s="27"/>
      <c r="F90" s="27"/>
      <c r="G90" s="27"/>
      <c r="H90" s="27"/>
      <c r="I90" s="27"/>
      <c r="J90" s="27"/>
      <c r="K90" s="27"/>
      <c r="L90" s="27"/>
      <c r="M90" s="27"/>
      <c r="N90" s="27"/>
      <c r="O90" s="29"/>
      <c r="Y90" s="8" t="str">
        <f t="shared" si="0"/>
        <v/>
      </c>
    </row>
    <row r="91" spans="2:25" ht="16.899999999999999" customHeight="1" x14ac:dyDescent="0.25">
      <c r="B91" s="26"/>
      <c r="C91" s="27"/>
      <c r="D91" s="27"/>
      <c r="E91" s="27"/>
      <c r="F91" s="27"/>
      <c r="G91" s="27"/>
      <c r="H91" s="27"/>
      <c r="I91" s="27"/>
      <c r="J91" s="27"/>
      <c r="K91" s="27"/>
      <c r="L91" s="27"/>
      <c r="M91" s="27"/>
      <c r="N91" s="27"/>
      <c r="O91" s="29"/>
      <c r="Y91" s="8" t="str">
        <f t="shared" si="0"/>
        <v/>
      </c>
    </row>
    <row r="92" spans="2:25" ht="16.899999999999999" customHeight="1" x14ac:dyDescent="0.25">
      <c r="B92" s="26"/>
      <c r="C92" s="27"/>
      <c r="D92" s="27"/>
      <c r="E92" s="27"/>
      <c r="F92" s="27"/>
      <c r="G92" s="27"/>
      <c r="H92" s="27"/>
      <c r="I92" s="27"/>
      <c r="J92" s="27"/>
      <c r="K92" s="27"/>
      <c r="L92" s="27"/>
      <c r="M92" s="27"/>
      <c r="N92" s="27"/>
      <c r="O92" s="29"/>
      <c r="Y92" s="8" t="str">
        <f t="shared" si="0"/>
        <v/>
      </c>
    </row>
    <row r="93" spans="2:25" ht="16.899999999999999" customHeight="1" x14ac:dyDescent="0.25">
      <c r="B93" s="26"/>
      <c r="C93" s="27"/>
      <c r="D93" s="27"/>
      <c r="E93" s="27"/>
      <c r="F93" s="27"/>
      <c r="G93" s="27"/>
      <c r="H93" s="27"/>
      <c r="I93" s="27"/>
      <c r="J93" s="27"/>
      <c r="K93" s="27"/>
      <c r="L93" s="27"/>
      <c r="M93" s="27"/>
      <c r="N93" s="27"/>
      <c r="O93" s="29"/>
      <c r="Y93" s="8" t="str">
        <f t="shared" si="0"/>
        <v/>
      </c>
    </row>
    <row r="94" spans="2:25" ht="16.899999999999999" customHeight="1" x14ac:dyDescent="0.25">
      <c r="B94" s="26"/>
      <c r="C94" s="27"/>
      <c r="D94" s="27"/>
      <c r="E94" s="27"/>
      <c r="F94" s="27"/>
      <c r="G94" s="27"/>
      <c r="H94" s="27"/>
      <c r="I94" s="27"/>
      <c r="J94" s="27"/>
      <c r="K94" s="27"/>
      <c r="L94" s="27"/>
      <c r="M94" s="27"/>
      <c r="N94" s="27"/>
      <c r="O94" s="29"/>
      <c r="Y94" s="8" t="str">
        <f t="shared" si="0"/>
        <v/>
      </c>
    </row>
    <row r="95" spans="2:25" ht="16.899999999999999" customHeight="1" x14ac:dyDescent="0.25">
      <c r="B95" s="26"/>
      <c r="C95" s="27"/>
      <c r="D95" s="27"/>
      <c r="E95" s="27"/>
      <c r="F95" s="27"/>
      <c r="G95" s="27"/>
      <c r="H95" s="27"/>
      <c r="I95" s="27"/>
      <c r="J95" s="27"/>
      <c r="K95" s="27"/>
      <c r="L95" s="27"/>
      <c r="M95" s="27"/>
      <c r="N95" s="27"/>
      <c r="O95" s="29"/>
      <c r="Y95" s="8" t="str">
        <f t="shared" si="0"/>
        <v/>
      </c>
    </row>
    <row r="96" spans="2:25" ht="16.899999999999999" customHeight="1" x14ac:dyDescent="0.25">
      <c r="B96" s="26"/>
      <c r="C96" s="27"/>
      <c r="D96" s="27"/>
      <c r="E96" s="27"/>
      <c r="F96" s="27"/>
      <c r="G96" s="27"/>
      <c r="H96" s="27"/>
      <c r="I96" s="27"/>
      <c r="J96" s="27"/>
      <c r="K96" s="27"/>
      <c r="L96" s="27"/>
      <c r="M96" s="27"/>
      <c r="N96" s="27"/>
      <c r="O96" s="29"/>
      <c r="Y96" s="8" t="str">
        <f t="shared" si="0"/>
        <v/>
      </c>
    </row>
    <row r="97" spans="2:25" ht="16.899999999999999" customHeight="1" x14ac:dyDescent="0.25">
      <c r="B97" s="26"/>
      <c r="C97" s="27"/>
      <c r="D97" s="27"/>
      <c r="E97" s="27"/>
      <c r="F97" s="27"/>
      <c r="G97" s="27"/>
      <c r="H97" s="27"/>
      <c r="I97" s="27"/>
      <c r="J97" s="27"/>
      <c r="K97" s="27"/>
      <c r="L97" s="27"/>
      <c r="M97" s="27"/>
      <c r="N97" s="27"/>
      <c r="O97" s="29"/>
      <c r="Y97" s="8" t="str">
        <f t="shared" si="0"/>
        <v/>
      </c>
    </row>
    <row r="98" spans="2:25" ht="16.899999999999999" customHeight="1" x14ac:dyDescent="0.25">
      <c r="B98" s="26"/>
      <c r="C98" s="27"/>
      <c r="D98" s="27"/>
      <c r="E98" s="27"/>
      <c r="F98" s="27"/>
      <c r="G98" s="27"/>
      <c r="H98" s="27"/>
      <c r="I98" s="27"/>
      <c r="J98" s="27"/>
      <c r="K98" s="27"/>
      <c r="L98" s="27"/>
      <c r="M98" s="27"/>
      <c r="N98" s="27"/>
      <c r="O98" s="29"/>
      <c r="Y98" s="8" t="str">
        <f t="shared" si="0"/>
        <v/>
      </c>
    </row>
    <row r="99" spans="2:25" ht="16.899999999999999" customHeight="1" x14ac:dyDescent="0.25">
      <c r="B99" s="26"/>
      <c r="C99" s="27"/>
      <c r="D99" s="27"/>
      <c r="E99" s="27"/>
      <c r="F99" s="27"/>
      <c r="G99" s="27"/>
      <c r="H99" s="27"/>
      <c r="I99" s="27"/>
      <c r="J99" s="27"/>
      <c r="K99" s="27"/>
      <c r="L99" s="27"/>
      <c r="M99" s="27"/>
      <c r="N99" s="27"/>
      <c r="O99" s="29"/>
      <c r="Y99" s="8" t="str">
        <f t="shared" si="0"/>
        <v/>
      </c>
    </row>
    <row r="100" spans="2:25" ht="16.899999999999999" customHeight="1" x14ac:dyDescent="0.25">
      <c r="B100" s="26"/>
      <c r="C100" s="27"/>
      <c r="D100" s="27"/>
      <c r="E100" s="27"/>
      <c r="F100" s="27"/>
      <c r="G100" s="27"/>
      <c r="H100" s="27"/>
      <c r="I100" s="27"/>
      <c r="J100" s="27"/>
      <c r="K100" s="27"/>
      <c r="L100" s="27"/>
      <c r="M100" s="27"/>
      <c r="N100" s="27"/>
      <c r="O100" s="29"/>
      <c r="Y100" s="8" t="str">
        <f t="shared" si="0"/>
        <v/>
      </c>
    </row>
    <row r="101" spans="2:25" ht="16.899999999999999" customHeight="1" x14ac:dyDescent="0.25">
      <c r="B101" s="26"/>
      <c r="C101" s="27"/>
      <c r="D101" s="27"/>
      <c r="E101" s="27"/>
      <c r="F101" s="27"/>
      <c r="G101" s="27"/>
      <c r="H101" s="27"/>
      <c r="I101" s="27"/>
      <c r="J101" s="27"/>
      <c r="K101" s="27"/>
      <c r="L101" s="27"/>
      <c r="M101" s="27"/>
      <c r="N101" s="27"/>
      <c r="O101" s="29"/>
      <c r="Y101" s="8" t="str">
        <f t="shared" si="0"/>
        <v/>
      </c>
    </row>
    <row r="102" spans="2:25" ht="16.899999999999999" customHeight="1" x14ac:dyDescent="0.25">
      <c r="B102" s="26"/>
      <c r="C102" s="27"/>
      <c r="D102" s="27"/>
      <c r="E102" s="27"/>
      <c r="F102" s="27"/>
      <c r="G102" s="27"/>
      <c r="H102" s="27"/>
      <c r="I102" s="27"/>
      <c r="J102" s="27"/>
      <c r="K102" s="27"/>
      <c r="L102" s="27"/>
      <c r="M102" s="27"/>
      <c r="N102" s="27"/>
      <c r="O102" s="29"/>
      <c r="Y102" s="8" t="str">
        <f t="shared" si="0"/>
        <v/>
      </c>
    </row>
    <row r="103" spans="2:25" ht="16.899999999999999" customHeight="1" x14ac:dyDescent="0.25">
      <c r="B103" s="26"/>
      <c r="C103" s="27"/>
      <c r="D103" s="27"/>
      <c r="E103" s="27"/>
      <c r="F103" s="27"/>
      <c r="G103" s="27"/>
      <c r="H103" s="27"/>
      <c r="I103" s="27"/>
      <c r="J103" s="27"/>
      <c r="K103" s="27"/>
      <c r="L103" s="27"/>
      <c r="M103" s="27"/>
      <c r="N103" s="27"/>
      <c r="O103" s="29"/>
      <c r="Y103" s="8" t="str">
        <f t="shared" si="0"/>
        <v/>
      </c>
    </row>
    <row r="104" spans="2:25" ht="16.899999999999999" customHeight="1" x14ac:dyDescent="0.25">
      <c r="B104" s="26"/>
      <c r="C104" s="27"/>
      <c r="D104" s="27"/>
      <c r="E104" s="27"/>
      <c r="F104" s="27"/>
      <c r="G104" s="27"/>
      <c r="H104" s="27"/>
      <c r="I104" s="27"/>
      <c r="J104" s="27"/>
      <c r="K104" s="27"/>
      <c r="L104" s="27"/>
      <c r="M104" s="27"/>
      <c r="N104" s="27"/>
      <c r="O104" s="29"/>
      <c r="Y104" s="8" t="str">
        <f t="shared" si="0"/>
        <v/>
      </c>
    </row>
    <row r="105" spans="2:25" x14ac:dyDescent="0.25">
      <c r="B105" s="32"/>
      <c r="C105" s="32"/>
      <c r="D105" s="32"/>
      <c r="E105" s="32"/>
      <c r="F105" s="32"/>
      <c r="G105" s="32"/>
      <c r="H105" s="32"/>
      <c r="I105" s="32"/>
      <c r="J105" s="32"/>
      <c r="K105" s="32"/>
      <c r="L105" s="32"/>
      <c r="M105" s="32"/>
      <c r="N105" s="32"/>
      <c r="O105" s="32"/>
    </row>
  </sheetData>
  <sortState ref="Y1:AB12">
    <sortCondition ref="Y1"/>
  </sortState>
  <conditionalFormatting sqref="C9">
    <cfRule type="expression" dxfId="3" priority="4">
      <formula>(DATEDIF(Geburtsdatum,TODAY(),"Y")&lt;18)</formula>
    </cfRule>
  </conditionalFormatting>
  <conditionalFormatting sqref="B9">
    <cfRule type="expression" dxfId="2" priority="3">
      <formula>(DATEDIF(Geburtsdatum,TODAY(),"Y")&lt;18)</formula>
    </cfRule>
  </conditionalFormatting>
  <conditionalFormatting sqref="K63">
    <cfRule type="expression" dxfId="1" priority="2">
      <formula>ISERROR(K63)</formula>
    </cfRule>
  </conditionalFormatting>
  <conditionalFormatting sqref="K64:K73">
    <cfRule type="expression" dxfId="0" priority="1">
      <formula>ISERROR(K64)</formula>
    </cfRule>
  </conditionalFormatting>
  <dataValidations count="2">
    <dataValidation type="list" allowBlank="1" showInputMessage="1" showErrorMessage="1" sqref="J63:J104">
      <formula1>$Y$1:$Y$12</formula1>
    </dataValidation>
    <dataValidation type="list" showInputMessage="1" showErrorMessage="1" sqref="F9">
      <formula1>janein</formula1>
    </dataValidation>
  </dataValidations>
  <hyperlinks>
    <hyperlink ref="K63" r:id="rId1" display="jakob.schumacher@reinickendorf.berlin.de"/>
    <hyperlink ref="K64" r:id="rId2" display="jakob.schumacher@reinickendorf.berlin.de"/>
    <hyperlink ref="K65:K73" r:id="rId3" display="jakob.schumacher@reinickendorf.berlin.de"/>
    <hyperlink ref="Z25" r:id="rId4" display="gesundheitsamt@teltow-flaeming.de"/>
  </hyperlinks>
  <pageMargins left="0.25" right="0.25" top="0.75" bottom="0.75" header="0.3" footer="0.3"/>
  <pageSetup paperSize="9" scale="20" orientation="portrait" r:id="rId5"/>
  <ignoredErrors>
    <ignoredError sqref="K66:K72" evalError="1"/>
  </ignoredErrors>
  <drawing r:id="rId6"/>
  <legacyDrawing r:id="rId7"/>
  <controls>
    <mc:AlternateContent xmlns:mc="http://schemas.openxmlformats.org/markup-compatibility/2006">
      <mc:Choice Requires="x14">
        <control shapeId="1056" r:id="rId8" name="KontaktVerschicken">
          <controlPr defaultSize="0" autoLine="0" r:id="rId9">
            <anchor moveWithCells="1">
              <from>
                <xdr:col>28</xdr:col>
                <xdr:colOff>0</xdr:colOff>
                <xdr:row>54</xdr:row>
                <xdr:rowOff>0</xdr:rowOff>
              </from>
              <to>
                <xdr:col>30</xdr:col>
                <xdr:colOff>57150</xdr:colOff>
                <xdr:row>56</xdr:row>
                <xdr:rowOff>171450</xdr:rowOff>
              </to>
            </anchor>
          </controlPr>
        </control>
      </mc:Choice>
      <mc:Fallback>
        <control shapeId="1056" r:id="rId8" name="KontaktVerschicken"/>
      </mc:Fallback>
    </mc:AlternateContent>
    <mc:AlternateContent xmlns:mc="http://schemas.openxmlformats.org/markup-compatibility/2006">
      <mc:Choice Requires="x14">
        <control shapeId="1054" r:id="rId10" name="Anrede">
          <controlPr defaultSize="0" autoLine="0" linkedCell="C11" listFillRange="W1:W3" r:id="rId11">
            <anchor moveWithCells="1">
              <from>
                <xdr:col>2</xdr:col>
                <xdr:colOff>628650</xdr:colOff>
                <xdr:row>9</xdr:row>
                <xdr:rowOff>9525</xdr:rowOff>
              </from>
              <to>
                <xdr:col>3</xdr:col>
                <xdr:colOff>685800</xdr:colOff>
                <xdr:row>10</xdr:row>
                <xdr:rowOff>57150</xdr:rowOff>
              </to>
            </anchor>
          </controlPr>
        </control>
      </mc:Choice>
      <mc:Fallback>
        <control shapeId="1054" r:id="rId10" name="Anrede"/>
      </mc:Fallback>
    </mc:AlternateContent>
    <mc:AlternateContent xmlns:mc="http://schemas.openxmlformats.org/markup-compatibility/2006">
      <mc:Choice Requires="x14">
        <control shapeId="1052" r:id="rId12" name="Excelspeichern">
          <controlPr defaultSize="0" autoLine="0" r:id="rId13">
            <anchor moveWithCells="1">
              <from>
                <xdr:col>9</xdr:col>
                <xdr:colOff>0</xdr:colOff>
                <xdr:row>4</xdr:row>
                <xdr:rowOff>95250</xdr:rowOff>
              </from>
              <to>
                <xdr:col>10</xdr:col>
                <xdr:colOff>800100</xdr:colOff>
                <xdr:row>6</xdr:row>
                <xdr:rowOff>19050</xdr:rowOff>
              </to>
            </anchor>
          </controlPr>
        </control>
      </mc:Choice>
      <mc:Fallback>
        <control shapeId="1052" r:id="rId12" name="Excelspeichern"/>
      </mc:Fallback>
    </mc:AlternateContent>
    <mc:AlternateContent xmlns:mc="http://schemas.openxmlformats.org/markup-compatibility/2006">
      <mc:Choice Requires="x14">
        <control shapeId="1041" r:id="rId14" name="Unterbringunganfordern">
          <controlPr defaultSize="0" autoLine="0" r:id="rId15">
            <anchor moveWithCells="1">
              <from>
                <xdr:col>9</xdr:col>
                <xdr:colOff>0</xdr:colOff>
                <xdr:row>14</xdr:row>
                <xdr:rowOff>0</xdr:rowOff>
              </from>
              <to>
                <xdr:col>10</xdr:col>
                <xdr:colOff>800100</xdr:colOff>
                <xdr:row>15</xdr:row>
                <xdr:rowOff>95250</xdr:rowOff>
              </to>
            </anchor>
          </controlPr>
        </control>
      </mc:Choice>
      <mc:Fallback>
        <control shapeId="1041" r:id="rId14" name="Unterbringunganfordern"/>
      </mc:Fallback>
    </mc:AlternateContent>
    <mc:AlternateContent xmlns:mc="http://schemas.openxmlformats.org/markup-compatibility/2006">
      <mc:Choice Requires="x14">
        <control shapeId="1040" r:id="rId16" name="Nahrungsanfordern">
          <controlPr defaultSize="0" autoLine="0" r:id="rId17">
            <anchor moveWithCells="1">
              <from>
                <xdr:col>9</xdr:col>
                <xdr:colOff>0</xdr:colOff>
                <xdr:row>12</xdr:row>
                <xdr:rowOff>0</xdr:rowOff>
              </from>
              <to>
                <xdr:col>10</xdr:col>
                <xdr:colOff>800100</xdr:colOff>
                <xdr:row>13</xdr:row>
                <xdr:rowOff>95250</xdr:rowOff>
              </to>
            </anchor>
          </controlPr>
        </control>
      </mc:Choice>
      <mc:Fallback>
        <control shapeId="1040" r:id="rId16" name="Nahrungsanfordern"/>
      </mc:Fallback>
    </mc:AlternateContent>
    <mc:AlternateContent xmlns:mc="http://schemas.openxmlformats.org/markup-compatibility/2006">
      <mc:Choice Requires="x14">
        <control shapeId="1039" r:id="rId18" name="Anordnung">
          <controlPr defaultSize="0" autoLine="0" r:id="rId19">
            <anchor moveWithCells="1">
              <from>
                <xdr:col>9</xdr:col>
                <xdr:colOff>0</xdr:colOff>
                <xdr:row>8</xdr:row>
                <xdr:rowOff>171450</xdr:rowOff>
              </from>
              <to>
                <xdr:col>10</xdr:col>
                <xdr:colOff>800100</xdr:colOff>
                <xdr:row>9</xdr:row>
                <xdr:rowOff>95250</xdr:rowOff>
              </to>
            </anchor>
          </controlPr>
        </control>
      </mc:Choice>
      <mc:Fallback>
        <control shapeId="1039" r:id="rId18" name="Anordnung"/>
      </mc:Fallback>
    </mc:AlternateContent>
    <mc:AlternateContent xmlns:mc="http://schemas.openxmlformats.org/markup-compatibility/2006">
      <mc:Choice Requires="x14">
        <control shapeId="1038" r:id="rId20" name="Empfehlung">
          <controlPr defaultSize="0" autoLine="0" r:id="rId21">
            <anchor moveWithCells="1">
              <from>
                <xdr:col>9</xdr:col>
                <xdr:colOff>0</xdr:colOff>
                <xdr:row>6</xdr:row>
                <xdr:rowOff>133350</xdr:rowOff>
              </from>
              <to>
                <xdr:col>10</xdr:col>
                <xdr:colOff>800100</xdr:colOff>
                <xdr:row>8</xdr:row>
                <xdr:rowOff>57150</xdr:rowOff>
              </to>
            </anchor>
          </controlPr>
        </control>
      </mc:Choice>
      <mc:Fallback>
        <control shapeId="1038" r:id="rId20" name="Empfehlung"/>
      </mc:Fallback>
    </mc:AlternateContent>
    <mc:AlternateContent xmlns:mc="http://schemas.openxmlformats.org/markup-compatibility/2006">
      <mc:Choice Requires="x14">
        <control shapeId="1037" r:id="rId22" name="Abstrichanforderung">
          <controlPr defaultSize="0" autoLine="0" r:id="rId23">
            <anchor moveWithCells="1">
              <from>
                <xdr:col>9</xdr:col>
                <xdr:colOff>0</xdr:colOff>
                <xdr:row>10</xdr:row>
                <xdr:rowOff>0</xdr:rowOff>
              </from>
              <to>
                <xdr:col>10</xdr:col>
                <xdr:colOff>800100</xdr:colOff>
                <xdr:row>11</xdr:row>
                <xdr:rowOff>95250</xdr:rowOff>
              </to>
            </anchor>
          </controlPr>
        </control>
      </mc:Choice>
      <mc:Fallback>
        <control shapeId="1037" r:id="rId22" name="Abstrichanforderung"/>
      </mc:Fallback>
    </mc:AlternateContent>
    <mc:AlternateContent xmlns:mc="http://schemas.openxmlformats.org/markup-compatibility/2006">
      <mc:Choice Requires="x14">
        <control shapeId="1036" r:id="rId24" name="ComboBox2">
          <controlPr defaultSize="0" autoLine="0" linkedCell="Q15" listFillRange="T1:T9" r:id="rId25">
            <anchor moveWithCells="1">
              <from>
                <xdr:col>2</xdr:col>
                <xdr:colOff>38100</xdr:colOff>
                <xdr:row>30</xdr:row>
                <xdr:rowOff>9525</xdr:rowOff>
              </from>
              <to>
                <xdr:col>3</xdr:col>
                <xdr:colOff>85725</xdr:colOff>
                <xdr:row>31</xdr:row>
                <xdr:rowOff>19050</xdr:rowOff>
              </to>
            </anchor>
          </controlPr>
        </control>
      </mc:Choice>
      <mc:Fallback>
        <control shapeId="1036" r:id="rId24" name="ComboBox2"/>
      </mc:Fallback>
    </mc:AlternateContent>
    <mc:AlternateContent xmlns:mc="http://schemas.openxmlformats.org/markup-compatibility/2006">
      <mc:Choice Requires="x14">
        <control shapeId="1035" r:id="rId26" name="CheckBox7">
          <controlPr defaultSize="0" autoLine="0" autoPict="0" linkedCell="Q6" r:id="rId27">
            <anchor moveWithCells="1">
              <from>
                <xdr:col>5</xdr:col>
                <xdr:colOff>0</xdr:colOff>
                <xdr:row>14</xdr:row>
                <xdr:rowOff>57150</xdr:rowOff>
              </from>
              <to>
                <xdr:col>7</xdr:col>
                <xdr:colOff>742950</xdr:colOff>
                <xdr:row>16</xdr:row>
                <xdr:rowOff>104775</xdr:rowOff>
              </to>
            </anchor>
          </controlPr>
        </control>
      </mc:Choice>
      <mc:Fallback>
        <control shapeId="1035" r:id="rId26" name="CheckBox7"/>
      </mc:Fallback>
    </mc:AlternateContent>
    <mc:AlternateContent xmlns:mc="http://schemas.openxmlformats.org/markup-compatibility/2006">
      <mc:Choice Requires="x14">
        <control shapeId="1034" r:id="rId28" name="CheckBox6">
          <controlPr defaultSize="0" autoLine="0" linkedCell="Q5" r:id="rId29">
            <anchor moveWithCells="1">
              <from>
                <xdr:col>5</xdr:col>
                <xdr:colOff>0</xdr:colOff>
                <xdr:row>12</xdr:row>
                <xdr:rowOff>133350</xdr:rowOff>
              </from>
              <to>
                <xdr:col>7</xdr:col>
                <xdr:colOff>85725</xdr:colOff>
                <xdr:row>14</xdr:row>
                <xdr:rowOff>28575</xdr:rowOff>
              </to>
            </anchor>
          </controlPr>
        </control>
      </mc:Choice>
      <mc:Fallback>
        <control shapeId="1034" r:id="rId28" name="CheckBox6"/>
      </mc:Fallback>
    </mc:AlternateContent>
    <mc:AlternateContent xmlns:mc="http://schemas.openxmlformats.org/markup-compatibility/2006">
      <mc:Choice Requires="x14">
        <control shapeId="1033" r:id="rId30" name="CheckBox5">
          <controlPr defaultSize="0" autoLine="0" linkedCell="Q10" r:id="rId31">
            <anchor moveWithCells="1">
              <from>
                <xdr:col>5</xdr:col>
                <xdr:colOff>0</xdr:colOff>
                <xdr:row>21</xdr:row>
                <xdr:rowOff>161925</xdr:rowOff>
              </from>
              <to>
                <xdr:col>6</xdr:col>
                <xdr:colOff>600075</xdr:colOff>
                <xdr:row>22</xdr:row>
                <xdr:rowOff>247650</xdr:rowOff>
              </to>
            </anchor>
          </controlPr>
        </control>
      </mc:Choice>
      <mc:Fallback>
        <control shapeId="1033" r:id="rId30" name="CheckBox5"/>
      </mc:Fallback>
    </mc:AlternateContent>
    <mc:AlternateContent xmlns:mc="http://schemas.openxmlformats.org/markup-compatibility/2006">
      <mc:Choice Requires="x14">
        <control shapeId="1032" r:id="rId32" name="CheckBox4">
          <controlPr defaultSize="0" autoLine="0" linkedCell="Q9" r:id="rId33">
            <anchor moveWithCells="1">
              <from>
                <xdr:col>5</xdr:col>
                <xdr:colOff>0</xdr:colOff>
                <xdr:row>20</xdr:row>
                <xdr:rowOff>0</xdr:rowOff>
              </from>
              <to>
                <xdr:col>7</xdr:col>
                <xdr:colOff>76200</xdr:colOff>
                <xdr:row>21</xdr:row>
                <xdr:rowOff>85725</xdr:rowOff>
              </to>
            </anchor>
          </controlPr>
        </control>
      </mc:Choice>
      <mc:Fallback>
        <control shapeId="1032" r:id="rId32" name="CheckBox4"/>
      </mc:Fallback>
    </mc:AlternateContent>
    <mc:AlternateContent xmlns:mc="http://schemas.openxmlformats.org/markup-compatibility/2006">
      <mc:Choice Requires="x14">
        <control shapeId="1031" r:id="rId34" name="CheckBox3">
          <controlPr defaultSize="0" autoLine="0" linkedCell="Q7" r:id="rId35">
            <anchor moveWithCells="1">
              <from>
                <xdr:col>5</xdr:col>
                <xdr:colOff>0</xdr:colOff>
                <xdr:row>16</xdr:row>
                <xdr:rowOff>104775</xdr:rowOff>
              </from>
              <to>
                <xdr:col>7</xdr:col>
                <xdr:colOff>657225</xdr:colOff>
                <xdr:row>18</xdr:row>
                <xdr:rowOff>0</xdr:rowOff>
              </to>
            </anchor>
          </controlPr>
        </control>
      </mc:Choice>
      <mc:Fallback>
        <control shapeId="1031" r:id="rId34" name="CheckBox3"/>
      </mc:Fallback>
    </mc:AlternateContent>
    <mc:AlternateContent xmlns:mc="http://schemas.openxmlformats.org/markup-compatibility/2006">
      <mc:Choice Requires="x14">
        <control shapeId="1030" r:id="rId36" name="CheckBox2">
          <controlPr defaultSize="0" autoLine="0" linkedCell="Q8" r:id="rId37">
            <anchor moveWithCells="1">
              <from>
                <xdr:col>5</xdr:col>
                <xdr:colOff>0</xdr:colOff>
                <xdr:row>18</xdr:row>
                <xdr:rowOff>57150</xdr:rowOff>
              </from>
              <to>
                <xdr:col>7</xdr:col>
                <xdr:colOff>457200</xdr:colOff>
                <xdr:row>19</xdr:row>
                <xdr:rowOff>142875</xdr:rowOff>
              </to>
            </anchor>
          </controlPr>
        </control>
      </mc:Choice>
      <mc:Fallback>
        <control shapeId="1030" r:id="rId36" name="CheckBox2"/>
      </mc:Fallback>
    </mc:AlternateContent>
    <mc:AlternateContent xmlns:mc="http://schemas.openxmlformats.org/markup-compatibility/2006">
      <mc:Choice Requires="x14">
        <control shapeId="1028" r:id="rId38" name="CheckBox1">
          <controlPr autoLine="0" linkedCell="Q11" r:id="rId39">
            <anchor moveWithCells="1">
              <from>
                <xdr:col>5</xdr:col>
                <xdr:colOff>0</xdr:colOff>
                <xdr:row>22</xdr:row>
                <xdr:rowOff>285750</xdr:rowOff>
              </from>
              <to>
                <xdr:col>7</xdr:col>
                <xdr:colOff>533400</xdr:colOff>
                <xdr:row>22</xdr:row>
                <xdr:rowOff>571500</xdr:rowOff>
              </to>
            </anchor>
          </controlPr>
        </control>
      </mc:Choice>
      <mc:Fallback>
        <control shapeId="1028" r:id="rId38" name="CheckBox1"/>
      </mc:Fallback>
    </mc:AlternateContent>
    <mc:AlternateContent xmlns:mc="http://schemas.openxmlformats.org/markup-compatibility/2006">
      <mc:Choice Requires="x14">
        <control shapeId="1027" r:id="rId40" name="Einstufung">
          <controlPr defaultSize="0" autoLine="0" linkedCell="Q14" listFillRange="S1:S9" r:id="rId41">
            <anchor moveWithCells="1">
              <from>
                <xdr:col>4</xdr:col>
                <xdr:colOff>1114425</xdr:colOff>
                <xdr:row>2</xdr:row>
                <xdr:rowOff>114300</xdr:rowOff>
              </from>
              <to>
                <xdr:col>7</xdr:col>
                <xdr:colOff>752475</xdr:colOff>
                <xdr:row>3</xdr:row>
                <xdr:rowOff>152400</xdr:rowOff>
              </to>
            </anchor>
          </controlPr>
        </control>
      </mc:Choice>
      <mc:Fallback>
        <control shapeId="1027" r:id="rId40" name="Einstufung"/>
      </mc:Fallback>
    </mc:AlternateContent>
    <mc:AlternateContent xmlns:mc="http://schemas.openxmlformats.org/markup-compatibility/2006">
      <mc:Choice Requires="x14">
        <control shapeId="1045" r:id="rId42" name="Save2Database">
          <controlPr defaultSize="0" autoLine="0" r:id="rId43">
            <anchor moveWithCells="1">
              <from>
                <xdr:col>9</xdr:col>
                <xdr:colOff>0</xdr:colOff>
                <xdr:row>22</xdr:row>
                <xdr:rowOff>371475</xdr:rowOff>
              </from>
              <to>
                <xdr:col>10</xdr:col>
                <xdr:colOff>790575</xdr:colOff>
                <xdr:row>23</xdr:row>
                <xdr:rowOff>9525</xdr:rowOff>
              </to>
            </anchor>
          </controlPr>
        </control>
      </mc:Choice>
      <mc:Fallback>
        <control shapeId="1045" r:id="rId42" name="Save2Database"/>
      </mc:Fallback>
    </mc:AlternateContent>
    <mc:AlternateContent xmlns:mc="http://schemas.openxmlformats.org/markup-compatibility/2006">
      <mc:Choice Requires="x14">
        <control shapeId="1047" r:id="rId44" name="CheckBox9">
          <controlPr defaultSize="0" autoLine="0" linkedCell="Q12" r:id="rId45">
            <anchor moveWithCells="1">
              <from>
                <xdr:col>5</xdr:col>
                <xdr:colOff>0</xdr:colOff>
                <xdr:row>22</xdr:row>
                <xdr:rowOff>609600</xdr:rowOff>
              </from>
              <to>
                <xdr:col>7</xdr:col>
                <xdr:colOff>400050</xdr:colOff>
                <xdr:row>23</xdr:row>
                <xdr:rowOff>190500</xdr:rowOff>
              </to>
            </anchor>
          </controlPr>
        </control>
      </mc:Choice>
      <mc:Fallback>
        <control shapeId="1047" r:id="rId44" name="CheckBox9"/>
      </mc:Fallback>
    </mc:AlternateContent>
    <mc:AlternateContent xmlns:mc="http://schemas.openxmlformats.org/markup-compatibility/2006">
      <mc:Choice Requires="x14">
        <control shapeId="1048" r:id="rId46" name="Notwendigkeitscombo">
          <controlPr defaultSize="0" autoLine="0" linkedCell="Q16" listFillRange="U1:U9" r:id="rId47">
            <anchor moveWithCells="1">
              <from>
                <xdr:col>5</xdr:col>
                <xdr:colOff>76200</xdr:colOff>
                <xdr:row>5</xdr:row>
                <xdr:rowOff>76200</xdr:rowOff>
              </from>
              <to>
                <xdr:col>8</xdr:col>
                <xdr:colOff>104775</xdr:colOff>
                <xdr:row>6</xdr:row>
                <xdr:rowOff>180975</xdr:rowOff>
              </to>
            </anchor>
          </controlPr>
        </control>
      </mc:Choice>
      <mc:Fallback>
        <control shapeId="1048" r:id="rId46" name="Notwendigkeitscombo"/>
      </mc:Fallback>
    </mc:AlternateContent>
    <mc:AlternateContent xmlns:mc="http://schemas.openxmlformats.org/markup-compatibility/2006">
      <mc:Choice Requires="x14">
        <control shapeId="1053" r:id="rId48" name="Languagebox">
          <controlPr locked="0" defaultSize="0" autoLine="0" linkedCell="Q17" r:id="rId49">
            <anchor moveWithCells="1">
              <from>
                <xdr:col>9</xdr:col>
                <xdr:colOff>38100</xdr:colOff>
                <xdr:row>33</xdr:row>
                <xdr:rowOff>171450</xdr:rowOff>
              </from>
              <to>
                <xdr:col>10</xdr:col>
                <xdr:colOff>609600</xdr:colOff>
                <xdr:row>35</xdr:row>
                <xdr:rowOff>47625</xdr:rowOff>
              </to>
            </anchor>
          </controlPr>
        </control>
      </mc:Choice>
      <mc:Fallback>
        <control shapeId="1053" r:id="rId48" name="Languagebox"/>
      </mc:Fallback>
    </mc:AlternateContent>
    <mc:AlternateContent xmlns:mc="http://schemas.openxmlformats.org/markup-compatibility/2006">
      <mc:Choice Requires="x14">
        <control shapeId="1059" r:id="rId50" name="EmailSenden">
          <controlPr defaultSize="0" autoLine="0" linkedCell="Q26" r:id="rId51">
            <anchor moveWithCells="1">
              <from>
                <xdr:col>28</xdr:col>
                <xdr:colOff>0</xdr:colOff>
                <xdr:row>57</xdr:row>
                <xdr:rowOff>95250</xdr:rowOff>
              </from>
              <to>
                <xdr:col>31</xdr:col>
                <xdr:colOff>161925</xdr:colOff>
                <xdr:row>58</xdr:row>
                <xdr:rowOff>171450</xdr:rowOff>
              </to>
            </anchor>
          </controlPr>
        </control>
      </mc:Choice>
      <mc:Fallback>
        <control shapeId="1059" r:id="rId50" name="EmailSenden"/>
      </mc:Fallback>
    </mc:AlternateContent>
    <mc:AlternateContent xmlns:mc="http://schemas.openxmlformats.org/markup-compatibility/2006">
      <mc:Choice Requires="x14">
        <control shapeId="1060" r:id="rId52" name="CovidAnordnung">
          <controlPr defaultSize="0" autoLine="0" r:id="rId53">
            <anchor moveWithCells="1">
              <from>
                <xdr:col>8</xdr:col>
                <xdr:colOff>723900</xdr:colOff>
                <xdr:row>54</xdr:row>
                <xdr:rowOff>104775</xdr:rowOff>
              </from>
              <to>
                <xdr:col>10</xdr:col>
                <xdr:colOff>762000</xdr:colOff>
                <xdr:row>56</xdr:row>
                <xdr:rowOff>28575</xdr:rowOff>
              </to>
            </anchor>
          </controlPr>
        </control>
      </mc:Choice>
      <mc:Fallback>
        <control shapeId="1060" r:id="rId52" name="CovidAnordnung"/>
      </mc:Fallback>
    </mc:AlternateContent>
    <mc:AlternateContent xmlns:mc="http://schemas.openxmlformats.org/markup-compatibility/2006">
      <mc:Choice Requires="x14">
        <control shapeId="1061" r:id="rId54" name="UebergabeAnderesGA">
          <controlPr defaultSize="0" autoLine="0" r:id="rId55">
            <anchor moveWithCells="1">
              <from>
                <xdr:col>9</xdr:col>
                <xdr:colOff>9525</xdr:colOff>
                <xdr:row>16</xdr:row>
                <xdr:rowOff>28575</xdr:rowOff>
              </from>
              <to>
                <xdr:col>10</xdr:col>
                <xdr:colOff>857250</xdr:colOff>
                <xdr:row>17</xdr:row>
                <xdr:rowOff>114300</xdr:rowOff>
              </to>
            </anchor>
          </controlPr>
        </control>
      </mc:Choice>
      <mc:Fallback>
        <control shapeId="1061" r:id="rId54" name="UebergabeAnderesGA"/>
      </mc:Fallback>
    </mc:AlternateContent>
    <mc:AlternateContent xmlns:mc="http://schemas.openxmlformats.org/markup-compatibility/2006">
      <mc:Choice Requires="x14">
        <control shapeId="1063" r:id="rId56" name="CheckBox8">
          <controlPr defaultSize="0" autoLine="0" autoPict="0" linkedCell="Q13" r:id="rId57">
            <anchor moveWithCells="1">
              <from>
                <xdr:col>4</xdr:col>
                <xdr:colOff>1133475</xdr:colOff>
                <xdr:row>24</xdr:row>
                <xdr:rowOff>28575</xdr:rowOff>
              </from>
              <to>
                <xdr:col>8</xdr:col>
                <xdr:colOff>47625</xdr:colOff>
                <xdr:row>25</xdr:row>
                <xdr:rowOff>76200</xdr:rowOff>
              </to>
            </anchor>
          </controlPr>
        </control>
      </mc:Choice>
      <mc:Fallback>
        <control shapeId="1063" r:id="rId56" name="CheckBox8"/>
      </mc:Fallback>
    </mc:AlternateContent>
    <mc:AlternateContent xmlns:mc="http://schemas.openxmlformats.org/markup-compatibility/2006">
      <mc:Choice Requires="x14">
        <control shapeId="1066" r:id="rId58" name="ComboBox1">
          <controlPr defaultSize="0" autoLine="0" linkedCell="Q27" listFillRange="Y1:Y15" r:id="rId59">
            <anchor moveWithCells="1">
              <from>
                <xdr:col>9</xdr:col>
                <xdr:colOff>28575</xdr:colOff>
                <xdr:row>18</xdr:row>
                <xdr:rowOff>0</xdr:rowOff>
              </from>
              <to>
                <xdr:col>10</xdr:col>
                <xdr:colOff>885825</xdr:colOff>
                <xdr:row>19</xdr:row>
                <xdr:rowOff>104775</xdr:rowOff>
              </to>
            </anchor>
          </controlPr>
        </control>
      </mc:Choice>
      <mc:Fallback>
        <control shapeId="1066" r:id="rId58" name="ComboBox1"/>
      </mc:Fallback>
    </mc:AlternateContent>
    <mc:AlternateContent xmlns:mc="http://schemas.openxmlformats.org/markup-compatibility/2006">
      <mc:Choice Requires="x14">
        <control shapeId="1068" r:id="rId60" name="CheckBox10">
          <controlPr defaultSize="0" autoLine="0" autoPict="0" linkedCell="Q29" r:id="rId61">
            <anchor moveWithCells="1">
              <from>
                <xdr:col>5</xdr:col>
                <xdr:colOff>9525</xdr:colOff>
                <xdr:row>26</xdr:row>
                <xdr:rowOff>19050</xdr:rowOff>
              </from>
              <to>
                <xdr:col>7</xdr:col>
                <xdr:colOff>571500</xdr:colOff>
                <xdr:row>27</xdr:row>
                <xdr:rowOff>9525</xdr:rowOff>
              </to>
            </anchor>
          </controlPr>
        </control>
      </mc:Choice>
      <mc:Fallback>
        <control shapeId="1068" r:id="rId60" name="CheckBox10"/>
      </mc:Fallback>
    </mc:AlternateContent>
    <mc:AlternateContent xmlns:mc="http://schemas.openxmlformats.org/markup-compatibility/2006">
      <mc:Choice Requires="x14">
        <control shapeId="1069" r:id="rId62" name="CheckBox11">
          <controlPr defaultSize="0" autoLine="0" linkedCell="Eingabetabelle!Q31" r:id="rId63">
            <anchor moveWithCells="1">
              <from>
                <xdr:col>5</xdr:col>
                <xdr:colOff>0</xdr:colOff>
                <xdr:row>27</xdr:row>
                <xdr:rowOff>104775</xdr:rowOff>
              </from>
              <to>
                <xdr:col>7</xdr:col>
                <xdr:colOff>561975</xdr:colOff>
                <xdr:row>28</xdr:row>
                <xdr:rowOff>95250</xdr:rowOff>
              </to>
            </anchor>
          </controlPr>
        </control>
      </mc:Choice>
      <mc:Fallback>
        <control shapeId="1069" r:id="rId62" name="CheckBox1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BS31"/>
  <sheetViews>
    <sheetView workbookViewId="0">
      <selection activeCell="AW3" sqref="AU3:AW3"/>
    </sheetView>
  </sheetViews>
  <sheetFormatPr baseColWidth="10" defaultRowHeight="15" x14ac:dyDescent="0.25"/>
  <cols>
    <col min="1" max="1" width="6.140625" bestFit="1" customWidth="1"/>
    <col min="2" max="2" width="5.85546875" bestFit="1" customWidth="1"/>
    <col min="3" max="3" width="25.42578125" customWidth="1"/>
    <col min="4" max="4" width="5.42578125" bestFit="1" customWidth="1"/>
    <col min="5" max="5" width="7" bestFit="1" customWidth="1"/>
    <col min="6" max="6" width="5.42578125" bestFit="1" customWidth="1"/>
    <col min="7" max="7" width="5.28515625" bestFit="1" customWidth="1"/>
    <col min="8" max="8" width="4.5703125" bestFit="1" customWidth="1"/>
    <col min="9" max="9" width="5.140625" bestFit="1" customWidth="1"/>
    <col min="10" max="10" width="5.7109375" bestFit="1" customWidth="1"/>
    <col min="11" max="11" width="5" bestFit="1" customWidth="1"/>
    <col min="12" max="12" width="20.140625" customWidth="1"/>
    <col min="13" max="13" width="30.140625" customWidth="1"/>
    <col min="14" max="14" width="7.85546875" bestFit="1" customWidth="1"/>
    <col min="15" max="15" width="8.7109375" customWidth="1"/>
    <col min="16" max="16" width="6.7109375" bestFit="1" customWidth="1"/>
    <col min="17" max="17" width="6.5703125" bestFit="1" customWidth="1"/>
    <col min="18" max="19" width="6" bestFit="1" customWidth="1"/>
    <col min="20" max="21" width="5.140625" bestFit="1" customWidth="1"/>
    <col min="22" max="22" width="7.5703125" bestFit="1" customWidth="1"/>
    <col min="23" max="23" width="5.7109375" bestFit="1" customWidth="1"/>
    <col min="24" max="24" width="8.140625" bestFit="1" customWidth="1"/>
    <col min="25" max="25" width="7.85546875" bestFit="1" customWidth="1"/>
    <col min="26" max="26" width="5.7109375" bestFit="1" customWidth="1"/>
    <col min="27" max="27" width="7.5703125" bestFit="1" customWidth="1"/>
    <col min="28" max="30" width="7.5703125" customWidth="1"/>
    <col min="31" max="31" width="8.42578125" bestFit="1" customWidth="1"/>
    <col min="32" max="32" width="10.140625" bestFit="1" customWidth="1"/>
    <col min="33" max="33" width="10.28515625" bestFit="1" customWidth="1"/>
    <col min="34" max="34" width="10.140625" bestFit="1" customWidth="1"/>
    <col min="35" max="35" width="9.85546875" bestFit="1" customWidth="1"/>
    <col min="36" max="36" width="9.85546875" customWidth="1"/>
    <col min="37" max="37" width="7.42578125" style="22" bestFit="1" customWidth="1"/>
    <col min="38" max="38" width="8.42578125" style="22" customWidth="1"/>
    <col min="39" max="39" width="8.42578125" customWidth="1"/>
    <col min="40" max="40" width="12.28515625" customWidth="1"/>
    <col min="41" max="41" width="8.42578125" customWidth="1"/>
    <col min="42" max="44" width="10.85546875" customWidth="1"/>
    <col min="45" max="45" width="24.28515625" customWidth="1"/>
    <col min="46" max="46" width="6.28515625" bestFit="1" customWidth="1"/>
  </cols>
  <sheetData>
    <row r="1" spans="1:71" s="59" customFormat="1" ht="167.25" x14ac:dyDescent="0.25">
      <c r="A1" s="59" t="s">
        <v>199</v>
      </c>
      <c r="B1" s="59" t="s">
        <v>200</v>
      </c>
      <c r="C1" s="59" t="s">
        <v>172</v>
      </c>
      <c r="D1" s="59" t="s">
        <v>12</v>
      </c>
      <c r="E1" s="59" t="s">
        <v>2</v>
      </c>
      <c r="F1" s="59" t="s">
        <v>201</v>
      </c>
      <c r="G1" s="59" t="s">
        <v>202</v>
      </c>
      <c r="H1" s="59" t="s">
        <v>92</v>
      </c>
      <c r="I1" s="59" t="s">
        <v>5</v>
      </c>
      <c r="J1" s="59" t="s">
        <v>6</v>
      </c>
      <c r="K1" s="59" t="s">
        <v>173</v>
      </c>
      <c r="L1" s="59" t="s">
        <v>174</v>
      </c>
      <c r="M1" s="59" t="s">
        <v>203</v>
      </c>
      <c r="N1" s="59" t="s">
        <v>176</v>
      </c>
      <c r="O1" s="59" t="s">
        <v>9</v>
      </c>
      <c r="P1" s="59" t="s">
        <v>204</v>
      </c>
      <c r="Q1" s="59" t="s">
        <v>152</v>
      </c>
      <c r="R1" s="59" t="s">
        <v>178</v>
      </c>
      <c r="S1" s="59" t="s">
        <v>179</v>
      </c>
      <c r="T1" s="59" t="s">
        <v>205</v>
      </c>
      <c r="U1" s="59" t="s">
        <v>206</v>
      </c>
      <c r="V1" s="59" t="s">
        <v>8</v>
      </c>
      <c r="W1" s="59" t="s">
        <v>11</v>
      </c>
      <c r="X1" s="59" t="s">
        <v>182</v>
      </c>
      <c r="Y1" s="59" t="s">
        <v>183</v>
      </c>
      <c r="Z1" s="59" t="s">
        <v>15</v>
      </c>
      <c r="AA1" s="59" t="s">
        <v>184</v>
      </c>
      <c r="AB1" s="59" t="s">
        <v>207</v>
      </c>
      <c r="AC1" s="59" t="s">
        <v>186</v>
      </c>
      <c r="AD1" s="59" t="s">
        <v>187</v>
      </c>
      <c r="AE1" s="59" t="s">
        <v>188</v>
      </c>
      <c r="AF1" s="59" t="s">
        <v>195</v>
      </c>
      <c r="AG1" s="59" t="s">
        <v>196</v>
      </c>
      <c r="AH1" s="59" t="s">
        <v>197</v>
      </c>
      <c r="AI1" s="59" t="s">
        <v>189</v>
      </c>
      <c r="AJ1" s="59" t="s">
        <v>209</v>
      </c>
      <c r="AK1" s="82" t="s">
        <v>190</v>
      </c>
      <c r="AL1" s="82" t="s">
        <v>191</v>
      </c>
      <c r="AM1" s="59" t="s">
        <v>192</v>
      </c>
      <c r="AN1" s="59" t="s">
        <v>193</v>
      </c>
      <c r="AO1" s="59" t="s">
        <v>194</v>
      </c>
      <c r="AP1" s="59" t="s">
        <v>198</v>
      </c>
      <c r="AQ1" s="59" t="s">
        <v>215</v>
      </c>
      <c r="AR1" s="59" t="s">
        <v>216</v>
      </c>
      <c r="AS1" s="59" t="s">
        <v>249</v>
      </c>
      <c r="AT1" s="59" t="s">
        <v>229</v>
      </c>
      <c r="AU1" s="59" t="s">
        <v>223</v>
      </c>
      <c r="AV1" s="59" t="s">
        <v>224</v>
      </c>
      <c r="AW1" s="59" t="s">
        <v>225</v>
      </c>
      <c r="AX1" s="59" t="s">
        <v>226</v>
      </c>
      <c r="AY1" s="59" t="s">
        <v>227</v>
      </c>
      <c r="AZ1" s="59" t="s">
        <v>228</v>
      </c>
      <c r="BA1" s="59" t="s">
        <v>230</v>
      </c>
      <c r="BB1" s="59" t="s">
        <v>231</v>
      </c>
      <c r="BC1" s="59" t="s">
        <v>239</v>
      </c>
      <c r="BD1" s="59" t="s">
        <v>240</v>
      </c>
      <c r="BE1" s="59" t="s">
        <v>264</v>
      </c>
      <c r="BF1" s="59" t="s">
        <v>265</v>
      </c>
      <c r="BG1" s="59" t="s">
        <v>241</v>
      </c>
      <c r="BH1" s="59" t="s">
        <v>242</v>
      </c>
      <c r="BI1" s="59" t="s">
        <v>243</v>
      </c>
      <c r="BJ1" s="59" t="s">
        <v>244</v>
      </c>
      <c r="BK1" s="59" t="s">
        <v>245</v>
      </c>
      <c r="BL1" s="59" t="s">
        <v>246</v>
      </c>
      <c r="BM1" s="59" t="s">
        <v>247</v>
      </c>
      <c r="BN1" s="59" t="s">
        <v>232</v>
      </c>
      <c r="BO1" s="59" t="s">
        <v>233</v>
      </c>
      <c r="BP1" s="59" t="s">
        <v>234</v>
      </c>
      <c r="BQ1" s="59" t="s">
        <v>235</v>
      </c>
      <c r="BR1" s="59" t="s">
        <v>248</v>
      </c>
    </row>
    <row r="2" spans="1:71" s="2" customFormat="1" x14ac:dyDescent="0.25">
      <c r="A2" s="56">
        <v>1</v>
      </c>
      <c r="B2" s="56">
        <v>2</v>
      </c>
      <c r="C2" s="56">
        <v>3</v>
      </c>
      <c r="D2" s="56">
        <v>4</v>
      </c>
      <c r="E2" s="56">
        <v>5</v>
      </c>
      <c r="F2" s="56">
        <v>6</v>
      </c>
      <c r="G2" s="56">
        <v>7</v>
      </c>
      <c r="H2" s="56">
        <v>8</v>
      </c>
      <c r="I2" s="56">
        <v>9</v>
      </c>
      <c r="J2" s="56">
        <v>10</v>
      </c>
      <c r="K2" s="56">
        <v>11</v>
      </c>
      <c r="L2" s="56">
        <v>12</v>
      </c>
      <c r="M2" s="56">
        <v>13</v>
      </c>
      <c r="N2" s="56">
        <v>14</v>
      </c>
      <c r="O2" s="56">
        <v>15</v>
      </c>
      <c r="P2" s="56">
        <v>16</v>
      </c>
      <c r="Q2" s="56">
        <v>17</v>
      </c>
      <c r="R2" s="56">
        <v>18</v>
      </c>
      <c r="S2" s="56">
        <v>19</v>
      </c>
      <c r="T2" s="56">
        <v>20</v>
      </c>
      <c r="U2" s="56">
        <v>21</v>
      </c>
      <c r="V2" s="56">
        <v>22</v>
      </c>
      <c r="W2" s="56">
        <v>23</v>
      </c>
      <c r="X2" s="56">
        <v>24</v>
      </c>
      <c r="Y2" s="56">
        <v>25</v>
      </c>
      <c r="Z2" s="56">
        <v>26</v>
      </c>
      <c r="AA2" s="56">
        <v>27</v>
      </c>
      <c r="AB2" s="56">
        <v>28</v>
      </c>
      <c r="AC2" s="56">
        <v>29</v>
      </c>
      <c r="AD2" s="56">
        <v>30</v>
      </c>
      <c r="AE2" s="56">
        <v>31</v>
      </c>
      <c r="AF2" s="56">
        <v>32</v>
      </c>
      <c r="AG2" s="56">
        <v>33</v>
      </c>
      <c r="AH2" s="56">
        <v>34</v>
      </c>
      <c r="AI2" s="56">
        <v>35</v>
      </c>
      <c r="AJ2" s="56">
        <v>36</v>
      </c>
      <c r="AK2" s="83">
        <v>37</v>
      </c>
      <c r="AL2" s="83">
        <v>38</v>
      </c>
      <c r="AM2" s="56">
        <v>39</v>
      </c>
      <c r="AN2" s="56">
        <v>40</v>
      </c>
      <c r="AO2" s="56">
        <v>41</v>
      </c>
      <c r="AP2" s="56">
        <v>42</v>
      </c>
      <c r="AQ2" s="56">
        <v>43</v>
      </c>
      <c r="AR2" s="56">
        <v>44</v>
      </c>
      <c r="AS2" s="56">
        <v>45</v>
      </c>
      <c r="AT2" s="56">
        <v>46</v>
      </c>
      <c r="AU2" s="56">
        <v>47</v>
      </c>
      <c r="AV2" s="56">
        <v>48</v>
      </c>
      <c r="AW2" s="56">
        <v>49</v>
      </c>
      <c r="AX2" s="56">
        <v>50</v>
      </c>
      <c r="AY2" s="56">
        <v>51</v>
      </c>
      <c r="AZ2" s="56">
        <v>52</v>
      </c>
      <c r="BA2" s="56">
        <v>53</v>
      </c>
      <c r="BB2" s="56">
        <v>54</v>
      </c>
      <c r="BC2" s="56">
        <v>55</v>
      </c>
      <c r="BD2" s="56">
        <v>56</v>
      </c>
      <c r="BE2" s="56">
        <v>57</v>
      </c>
      <c r="BF2" s="56">
        <v>58</v>
      </c>
      <c r="BG2" s="56">
        <v>59</v>
      </c>
      <c r="BH2" s="56">
        <v>60</v>
      </c>
      <c r="BI2" s="56">
        <v>61</v>
      </c>
      <c r="BJ2" s="56">
        <v>62</v>
      </c>
      <c r="BK2" s="56">
        <v>63</v>
      </c>
      <c r="BL2" s="56">
        <v>64</v>
      </c>
      <c r="BM2" s="56">
        <v>65</v>
      </c>
      <c r="BN2" s="56">
        <v>66</v>
      </c>
      <c r="BO2" s="56">
        <v>67</v>
      </c>
      <c r="BP2" s="56">
        <v>68</v>
      </c>
      <c r="BQ2" s="56">
        <v>69</v>
      </c>
      <c r="BR2" s="56">
        <v>70</v>
      </c>
      <c r="BS2" s="56">
        <v>71</v>
      </c>
    </row>
    <row r="3" spans="1:71" s="57" customFormat="1" x14ac:dyDescent="0.25">
      <c r="C3" s="78"/>
      <c r="E3" s="60"/>
      <c r="N3" s="60"/>
      <c r="AF3" s="58"/>
      <c r="AG3" s="58"/>
      <c r="AK3" s="78"/>
      <c r="AL3" s="78"/>
      <c r="AR3" s="58"/>
      <c r="AS3" s="68"/>
      <c r="BP3" s="60"/>
      <c r="BQ3" s="60"/>
    </row>
    <row r="4" spans="1:71" s="57" customFormat="1" x14ac:dyDescent="0.25">
      <c r="AK4" s="78"/>
      <c r="AL4" s="78"/>
    </row>
    <row r="5" spans="1:71" s="57" customFormat="1" x14ac:dyDescent="0.25">
      <c r="AK5" s="78"/>
      <c r="AL5" s="78"/>
    </row>
    <row r="6" spans="1:71" s="57" customFormat="1" x14ac:dyDescent="0.25">
      <c r="AK6" s="78"/>
      <c r="AL6" s="78"/>
    </row>
    <row r="7" spans="1:71" s="57" customFormat="1" x14ac:dyDescent="0.25">
      <c r="AK7" s="78"/>
      <c r="AL7" s="78"/>
    </row>
    <row r="8" spans="1:71" s="57" customFormat="1" x14ac:dyDescent="0.25">
      <c r="AK8" s="78"/>
      <c r="AL8" s="78"/>
    </row>
    <row r="9" spans="1:71" s="57" customFormat="1" x14ac:dyDescent="0.25">
      <c r="AK9" s="78"/>
      <c r="AL9" s="78"/>
    </row>
    <row r="10" spans="1:71" s="57" customFormat="1" x14ac:dyDescent="0.25">
      <c r="AK10" s="78"/>
      <c r="AL10" s="78"/>
    </row>
    <row r="11" spans="1:71" s="57" customFormat="1" x14ac:dyDescent="0.25">
      <c r="AK11" s="78"/>
      <c r="AL11" s="78"/>
    </row>
    <row r="12" spans="1:71" s="57" customFormat="1" x14ac:dyDescent="0.25">
      <c r="AK12" s="78"/>
      <c r="AL12" s="78"/>
    </row>
    <row r="13" spans="1:71" s="57" customFormat="1" x14ac:dyDescent="0.25">
      <c r="AK13" s="78"/>
      <c r="AL13" s="78"/>
    </row>
    <row r="14" spans="1:71" s="57" customFormat="1" x14ac:dyDescent="0.25">
      <c r="AK14" s="78"/>
      <c r="AL14" s="78"/>
    </row>
    <row r="15" spans="1:71" s="57" customFormat="1" x14ac:dyDescent="0.25">
      <c r="AK15" s="78"/>
      <c r="AL15" s="78"/>
    </row>
    <row r="16" spans="1:71" s="57" customFormat="1" x14ac:dyDescent="0.25">
      <c r="AK16" s="78"/>
      <c r="AL16" s="78"/>
    </row>
    <row r="17" spans="37:38" s="57" customFormat="1" x14ac:dyDescent="0.25">
      <c r="AK17" s="78"/>
      <c r="AL17" s="78"/>
    </row>
    <row r="18" spans="37:38" s="57" customFormat="1" x14ac:dyDescent="0.25">
      <c r="AK18" s="78"/>
      <c r="AL18" s="78"/>
    </row>
    <row r="19" spans="37:38" s="57" customFormat="1" x14ac:dyDescent="0.25">
      <c r="AK19" s="78"/>
      <c r="AL19" s="78"/>
    </row>
    <row r="20" spans="37:38" s="57" customFormat="1" x14ac:dyDescent="0.25">
      <c r="AK20" s="78"/>
      <c r="AL20" s="78"/>
    </row>
    <row r="21" spans="37:38" s="57" customFormat="1" x14ac:dyDescent="0.25">
      <c r="AK21" s="78"/>
      <c r="AL21" s="78"/>
    </row>
    <row r="22" spans="37:38" s="57" customFormat="1" x14ac:dyDescent="0.25">
      <c r="AK22" s="78"/>
      <c r="AL22" s="78"/>
    </row>
    <row r="23" spans="37:38" s="57" customFormat="1" x14ac:dyDescent="0.25">
      <c r="AK23" s="78"/>
      <c r="AL23" s="78"/>
    </row>
    <row r="24" spans="37:38" s="57" customFormat="1" x14ac:dyDescent="0.25">
      <c r="AK24" s="78"/>
      <c r="AL24" s="78"/>
    </row>
    <row r="25" spans="37:38" s="57" customFormat="1" x14ac:dyDescent="0.25">
      <c r="AK25" s="78"/>
      <c r="AL25" s="78"/>
    </row>
    <row r="26" spans="37:38" s="57" customFormat="1" x14ac:dyDescent="0.25">
      <c r="AK26" s="78"/>
      <c r="AL26" s="78"/>
    </row>
    <row r="27" spans="37:38" s="57" customFormat="1" x14ac:dyDescent="0.25">
      <c r="AK27" s="78"/>
      <c r="AL27" s="78"/>
    </row>
    <row r="28" spans="37:38" s="57" customFormat="1" x14ac:dyDescent="0.25">
      <c r="AK28" s="78"/>
      <c r="AL28" s="78"/>
    </row>
    <row r="29" spans="37:38" s="57" customFormat="1" x14ac:dyDescent="0.25">
      <c r="AK29" s="78"/>
      <c r="AL29" s="78"/>
    </row>
    <row r="30" spans="37:38" s="57" customFormat="1" x14ac:dyDescent="0.25">
      <c r="AK30" s="78"/>
      <c r="AL30" s="78"/>
    </row>
    <row r="31" spans="37:38" s="57" customFormat="1" x14ac:dyDescent="0.25">
      <c r="AK31" s="78"/>
      <c r="AL31" s="78"/>
    </row>
  </sheetData>
  <sheetProtection sheet="1" objects="1" scenarios="1"/>
  <pageMargins left="0.7" right="0.7" top="0.78740157499999996" bottom="0.78740157499999996"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AW448"/>
  <sheetViews>
    <sheetView workbookViewId="0">
      <selection activeCell="B3" sqref="B3"/>
    </sheetView>
  </sheetViews>
  <sheetFormatPr baseColWidth="10" defaultRowHeight="15" x14ac:dyDescent="0.25"/>
  <cols>
    <col min="1" max="1" width="6.85546875" customWidth="1"/>
    <col min="2" max="2" width="6.7109375" bestFit="1" customWidth="1"/>
    <col min="3" max="3" width="5.85546875" bestFit="1" customWidth="1"/>
    <col min="4" max="4" width="5.42578125" bestFit="1" customWidth="1"/>
    <col min="5" max="5" width="10.140625" bestFit="1" customWidth="1"/>
    <col min="6" max="6" width="13" bestFit="1" customWidth="1"/>
    <col min="7" max="7" width="5.28515625" bestFit="1" customWidth="1"/>
    <col min="8" max="8" width="6" bestFit="1" customWidth="1"/>
    <col min="9" max="9" width="5.5703125" bestFit="1" customWidth="1"/>
    <col min="10" max="10" width="19.28515625" bestFit="1" customWidth="1"/>
    <col min="11" max="11" width="11.85546875" bestFit="1" customWidth="1"/>
    <col min="12" max="12" width="15.42578125" bestFit="1" customWidth="1"/>
    <col min="13" max="13" width="14.85546875" customWidth="1"/>
    <col min="14" max="14" width="7.85546875" bestFit="1" customWidth="1"/>
    <col min="15" max="15" width="5" bestFit="1" customWidth="1"/>
    <col min="16" max="16" width="6.7109375" bestFit="1" customWidth="1"/>
    <col min="17" max="17" width="6.5703125" bestFit="1" customWidth="1"/>
    <col min="18" max="18" width="6" bestFit="1" customWidth="1"/>
    <col min="19" max="20" width="20.7109375" customWidth="1"/>
    <col min="21" max="21" width="5.140625" bestFit="1" customWidth="1"/>
    <col min="22" max="22" width="7.5703125" bestFit="1" customWidth="1"/>
    <col min="23" max="23" width="5.7109375" bestFit="1" customWidth="1"/>
    <col min="24" max="24" width="8.140625" bestFit="1" customWidth="1"/>
    <col min="25" max="25" width="7.85546875" bestFit="1" customWidth="1"/>
    <col min="26" max="26" width="5.7109375" bestFit="1" customWidth="1"/>
    <col min="27" max="27" width="10.42578125" customWidth="1"/>
    <col min="28" max="30" width="7.5703125" customWidth="1"/>
    <col min="31" max="31" width="8.42578125" bestFit="1" customWidth="1"/>
    <col min="32" max="32" width="7.85546875" bestFit="1" customWidth="1"/>
    <col min="33" max="34" width="10.140625" bestFit="1" customWidth="1"/>
    <col min="35" max="35" width="9.85546875" bestFit="1" customWidth="1"/>
    <col min="36" max="36" width="9.85546875" customWidth="1"/>
    <col min="37" max="37" width="7.42578125" bestFit="1" customWidth="1"/>
    <col min="38" max="39" width="8.42578125" customWidth="1"/>
    <col min="40" max="40" width="12.28515625" customWidth="1"/>
    <col min="41" max="41" width="8.42578125" customWidth="1"/>
    <col min="42" max="44" width="10.85546875" customWidth="1"/>
  </cols>
  <sheetData>
    <row r="1" spans="1:49" s="71" customFormat="1" x14ac:dyDescent="0.25">
      <c r="A1" s="72">
        <v>1</v>
      </c>
      <c r="B1" s="72">
        <v>2</v>
      </c>
      <c r="C1" s="72">
        <v>3</v>
      </c>
      <c r="D1" s="72">
        <v>4</v>
      </c>
      <c r="E1" s="72">
        <v>5</v>
      </c>
      <c r="F1" s="72">
        <v>6</v>
      </c>
      <c r="G1" s="72">
        <v>7</v>
      </c>
      <c r="H1" s="72">
        <v>8</v>
      </c>
      <c r="I1" s="72">
        <v>9</v>
      </c>
      <c r="J1" s="72">
        <v>10</v>
      </c>
      <c r="K1" s="72">
        <v>11</v>
      </c>
      <c r="L1" s="72">
        <v>12</v>
      </c>
      <c r="M1" s="72">
        <v>13</v>
      </c>
      <c r="N1" s="72">
        <v>14</v>
      </c>
      <c r="O1" s="72">
        <v>15</v>
      </c>
      <c r="P1" s="72">
        <v>16</v>
      </c>
      <c r="Q1" s="72">
        <v>17</v>
      </c>
      <c r="R1" s="72">
        <v>18</v>
      </c>
      <c r="S1" s="72">
        <v>19</v>
      </c>
      <c r="T1" s="72">
        <v>20</v>
      </c>
      <c r="U1" s="72">
        <v>21</v>
      </c>
      <c r="V1" s="72">
        <v>22</v>
      </c>
      <c r="W1" s="72">
        <v>23</v>
      </c>
      <c r="X1" s="72">
        <v>24</v>
      </c>
      <c r="Y1" s="72">
        <v>25</v>
      </c>
      <c r="Z1" s="72">
        <v>26</v>
      </c>
      <c r="AA1" s="72">
        <v>27</v>
      </c>
    </row>
    <row r="2" spans="1:49" s="59" customFormat="1" ht="100.5" x14ac:dyDescent="0.25">
      <c r="A2" s="73" t="s">
        <v>217</v>
      </c>
      <c r="B2" s="73" t="s">
        <v>199</v>
      </c>
      <c r="C2" s="73" t="s">
        <v>200</v>
      </c>
      <c r="D2" s="73" t="s">
        <v>12</v>
      </c>
      <c r="E2" s="73" t="s">
        <v>2</v>
      </c>
      <c r="F2" s="73" t="s">
        <v>201</v>
      </c>
      <c r="G2" s="73" t="s">
        <v>202</v>
      </c>
      <c r="H2" s="73" t="s">
        <v>92</v>
      </c>
      <c r="I2" s="73" t="s">
        <v>93</v>
      </c>
      <c r="J2" s="73" t="s">
        <v>218</v>
      </c>
      <c r="K2" s="73" t="s">
        <v>263</v>
      </c>
      <c r="L2" s="73" t="s">
        <v>219</v>
      </c>
      <c r="M2" s="73" t="s">
        <v>220</v>
      </c>
      <c r="N2" s="59" t="s">
        <v>221</v>
      </c>
      <c r="O2" s="59" t="s">
        <v>222</v>
      </c>
      <c r="P2" s="59" t="s">
        <v>8</v>
      </c>
      <c r="Q2" s="59" t="s">
        <v>236</v>
      </c>
      <c r="R2" s="59" t="s">
        <v>182</v>
      </c>
      <c r="S2" s="59" t="s">
        <v>238</v>
      </c>
    </row>
    <row r="3" spans="1:49" x14ac:dyDescent="0.25">
      <c r="A3" s="70">
        <f>IF(B3&lt;&gt;"",1,1)</f>
        <v>1</v>
      </c>
      <c r="B3" s="57"/>
      <c r="C3" s="57"/>
      <c r="D3" s="57"/>
      <c r="E3" s="60"/>
      <c r="F3" s="57"/>
      <c r="G3" s="57"/>
      <c r="H3" s="57"/>
      <c r="I3" s="57"/>
      <c r="J3" s="57"/>
      <c r="K3" s="57"/>
      <c r="L3" s="57"/>
      <c r="M3" s="57"/>
      <c r="N3" s="57"/>
      <c r="O3" s="57"/>
      <c r="P3" s="57"/>
      <c r="Q3" s="60"/>
      <c r="R3" s="57"/>
      <c r="S3" s="68"/>
      <c r="T3" s="57"/>
      <c r="U3" s="57"/>
      <c r="V3" s="57"/>
      <c r="W3" s="57"/>
      <c r="X3" s="57"/>
      <c r="Y3" s="57"/>
      <c r="Z3" s="57"/>
      <c r="AA3" s="8" t="s">
        <v>140</v>
      </c>
      <c r="AB3" s="8">
        <f>ROW(A3)</f>
        <v>3</v>
      </c>
      <c r="AC3" s="57"/>
      <c r="AD3" s="57"/>
      <c r="AE3" s="57"/>
      <c r="AF3" s="57"/>
      <c r="AG3" s="57"/>
      <c r="AH3" s="57"/>
      <c r="AI3" s="57"/>
      <c r="AJ3" s="57"/>
      <c r="AK3" s="57"/>
      <c r="AL3" s="57"/>
      <c r="AM3" s="57"/>
      <c r="AN3" s="57"/>
      <c r="AO3" s="57"/>
      <c r="AP3" s="57"/>
      <c r="AQ3" s="57"/>
      <c r="AR3" s="57"/>
      <c r="AS3" s="57"/>
      <c r="AT3" s="57"/>
      <c r="AU3" s="57"/>
      <c r="AV3" s="57"/>
      <c r="AW3" s="57"/>
    </row>
    <row r="4" spans="1:49" x14ac:dyDescent="0.25">
      <c r="A4" s="70" t="str">
        <f>IF(B4&lt;&gt;"",A3+1,"")</f>
        <v/>
      </c>
      <c r="B4" s="57"/>
      <c r="C4" s="57"/>
      <c r="D4" s="57"/>
      <c r="E4" s="60"/>
      <c r="F4" s="57"/>
      <c r="G4" s="57"/>
      <c r="H4" s="57"/>
      <c r="I4" s="57"/>
      <c r="J4" s="57"/>
      <c r="K4" s="57"/>
      <c r="L4" s="57"/>
      <c r="M4" s="57"/>
      <c r="N4" s="60"/>
      <c r="O4" s="57"/>
      <c r="P4" s="57"/>
      <c r="Q4" s="60"/>
      <c r="R4" s="57"/>
      <c r="S4" s="68"/>
      <c r="T4" s="57"/>
      <c r="U4" s="57"/>
      <c r="V4" s="57"/>
      <c r="W4" s="57"/>
      <c r="X4" s="57"/>
      <c r="Y4" s="57"/>
      <c r="Z4" s="57"/>
      <c r="AA4" s="8" t="s">
        <v>139</v>
      </c>
      <c r="AB4" s="8">
        <f>MAX(A3:A600)</f>
        <v>1</v>
      </c>
      <c r="AC4" s="57"/>
      <c r="AD4" s="57"/>
      <c r="AE4" s="57"/>
      <c r="AF4" s="57"/>
      <c r="AG4" s="57"/>
      <c r="AH4" s="57"/>
      <c r="AI4" s="57"/>
      <c r="AJ4" s="57"/>
      <c r="AK4" s="57"/>
      <c r="AL4" s="57"/>
      <c r="AM4" s="57"/>
      <c r="AN4" s="57"/>
      <c r="AO4" s="57"/>
      <c r="AP4" s="57"/>
      <c r="AQ4" s="57"/>
      <c r="AR4" s="57"/>
      <c r="AS4" s="57"/>
      <c r="AT4" s="57"/>
      <c r="AU4" s="57"/>
      <c r="AV4" s="57"/>
      <c r="AW4" s="57"/>
    </row>
    <row r="5" spans="1:49" x14ac:dyDescent="0.25">
      <c r="A5" s="70" t="str">
        <f t="shared" ref="A5:A68" si="0">IF(B5&lt;&gt;"",A4+1,"")</f>
        <v/>
      </c>
      <c r="B5" s="57"/>
      <c r="C5" s="57"/>
      <c r="D5" s="57"/>
      <c r="E5" s="57"/>
      <c r="F5" s="57"/>
      <c r="G5" s="57"/>
      <c r="H5" s="57"/>
      <c r="I5" s="57"/>
      <c r="J5" s="57"/>
      <c r="K5" s="57"/>
      <c r="L5" s="57"/>
      <c r="M5" s="57"/>
      <c r="N5" s="60"/>
      <c r="O5" s="57"/>
      <c r="P5" s="57"/>
      <c r="Q5" s="60"/>
      <c r="R5" s="57"/>
      <c r="S5" s="68"/>
      <c r="T5" s="57"/>
      <c r="U5" s="57"/>
      <c r="V5" s="57"/>
      <c r="W5" s="57"/>
      <c r="X5" s="57"/>
      <c r="Y5" s="57"/>
      <c r="Z5" s="57"/>
      <c r="AA5" s="57"/>
      <c r="AB5" s="57"/>
      <c r="AC5" s="57"/>
      <c r="AD5" s="57"/>
      <c r="AE5" s="57"/>
      <c r="AF5" s="57"/>
      <c r="AG5" s="58"/>
      <c r="AH5" s="58"/>
      <c r="AI5" s="57"/>
      <c r="AJ5" s="57"/>
      <c r="AK5" s="57"/>
      <c r="AL5" s="57"/>
      <c r="AM5" s="57"/>
      <c r="AN5" s="57"/>
      <c r="AO5" s="57"/>
      <c r="AP5" s="57"/>
      <c r="AQ5" s="57"/>
      <c r="AR5" s="57"/>
      <c r="AS5" s="57"/>
      <c r="AT5" s="57"/>
      <c r="AU5" s="57"/>
      <c r="AV5" s="57"/>
      <c r="AW5" s="57"/>
    </row>
    <row r="6" spans="1:49" x14ac:dyDescent="0.25">
      <c r="A6" s="70" t="str">
        <f t="shared" si="0"/>
        <v/>
      </c>
      <c r="B6" s="57"/>
      <c r="C6" s="57"/>
      <c r="D6" s="57"/>
      <c r="E6" s="57"/>
      <c r="F6" s="57"/>
      <c r="G6" s="57"/>
      <c r="H6" s="57"/>
      <c r="I6" s="57"/>
      <c r="J6" s="57"/>
      <c r="K6" s="57"/>
      <c r="L6" s="57"/>
      <c r="M6" s="57"/>
      <c r="N6" s="60"/>
      <c r="O6" s="57"/>
      <c r="P6" s="57"/>
      <c r="Q6" s="60"/>
      <c r="R6" s="57"/>
      <c r="S6" s="68"/>
      <c r="T6" s="57"/>
      <c r="U6" s="57"/>
      <c r="V6" s="57"/>
      <c r="W6" s="57"/>
      <c r="X6" s="57"/>
      <c r="Y6" s="57"/>
      <c r="Z6" s="57"/>
      <c r="AA6" s="57"/>
      <c r="AB6" s="57"/>
      <c r="AC6" s="57"/>
      <c r="AD6" s="57"/>
      <c r="AE6" s="57"/>
      <c r="AF6" s="57"/>
      <c r="AG6" s="58"/>
      <c r="AH6" s="58"/>
      <c r="AI6" s="57"/>
      <c r="AJ6" s="57"/>
      <c r="AK6" s="57"/>
      <c r="AL6" s="57"/>
      <c r="AM6" s="57"/>
      <c r="AN6" s="57"/>
      <c r="AO6" s="57"/>
      <c r="AP6" s="57"/>
      <c r="AQ6" s="57"/>
      <c r="AR6" s="57"/>
      <c r="AS6" s="57"/>
      <c r="AT6" s="57"/>
      <c r="AU6" s="57"/>
      <c r="AV6" s="57"/>
      <c r="AW6" s="57"/>
    </row>
    <row r="7" spans="1:49" x14ac:dyDescent="0.25">
      <c r="A7" s="70" t="str">
        <f t="shared" si="0"/>
        <v/>
      </c>
      <c r="B7" s="57"/>
      <c r="C7" s="57"/>
      <c r="D7" s="57"/>
      <c r="E7" s="57"/>
      <c r="F7" s="57"/>
      <c r="G7" s="57"/>
      <c r="H7" s="57"/>
      <c r="I7" s="57"/>
      <c r="J7" s="57"/>
      <c r="K7" s="57"/>
      <c r="L7" s="57"/>
      <c r="M7" s="57"/>
      <c r="N7" s="60"/>
      <c r="O7" s="57"/>
      <c r="P7" s="57"/>
      <c r="Q7" s="60"/>
      <c r="R7" s="57"/>
      <c r="S7" s="68"/>
      <c r="T7" s="57"/>
      <c r="U7" s="57"/>
      <c r="V7" s="57"/>
      <c r="W7" s="57"/>
      <c r="X7" s="57"/>
      <c r="Y7" s="57"/>
      <c r="Z7" s="57"/>
      <c r="AA7" s="57"/>
      <c r="AB7" s="57"/>
      <c r="AC7" s="57"/>
      <c r="AD7" s="57"/>
      <c r="AE7" s="57"/>
      <c r="AF7" s="58"/>
      <c r="AG7" s="58"/>
      <c r="AH7" s="57"/>
      <c r="AI7" s="57"/>
      <c r="AJ7" s="57"/>
      <c r="AK7" s="57"/>
      <c r="AL7" s="57"/>
      <c r="AM7" s="57"/>
      <c r="AN7" s="57"/>
      <c r="AO7" s="57"/>
      <c r="AP7" s="57"/>
      <c r="AQ7" s="57"/>
      <c r="AR7" s="57"/>
      <c r="AS7" s="57"/>
      <c r="AT7" s="57"/>
      <c r="AU7" s="57"/>
      <c r="AV7" s="57"/>
      <c r="AW7" s="57"/>
    </row>
    <row r="8" spans="1:49" x14ac:dyDescent="0.25">
      <c r="A8" s="70" t="str">
        <f t="shared" si="0"/>
        <v/>
      </c>
      <c r="B8" s="57"/>
      <c r="C8" s="57"/>
      <c r="D8" s="57"/>
      <c r="E8" s="57"/>
      <c r="F8" s="57"/>
      <c r="G8" s="57"/>
      <c r="H8" s="57"/>
      <c r="I8" s="57"/>
      <c r="J8" s="57"/>
      <c r="K8" s="57"/>
      <c r="L8" s="57"/>
      <c r="M8" s="57"/>
      <c r="N8" s="60"/>
      <c r="O8" s="57"/>
      <c r="P8" s="57"/>
      <c r="Q8" s="60"/>
      <c r="R8" s="57"/>
      <c r="S8" s="68"/>
      <c r="T8" s="57"/>
      <c r="U8" s="57"/>
      <c r="V8" s="57"/>
      <c r="W8" s="57"/>
      <c r="X8" s="57"/>
      <c r="Y8" s="57"/>
      <c r="Z8" s="57"/>
      <c r="AA8" s="57"/>
      <c r="AB8" s="57"/>
      <c r="AC8" s="57"/>
      <c r="AD8" s="57"/>
      <c r="AE8" s="57"/>
      <c r="AF8" s="58"/>
      <c r="AG8" s="58"/>
      <c r="AH8" s="57"/>
      <c r="AI8" s="57"/>
      <c r="AJ8" s="57"/>
      <c r="AK8" s="57"/>
      <c r="AL8" s="57"/>
      <c r="AM8" s="57"/>
      <c r="AN8" s="57"/>
      <c r="AO8" s="57"/>
      <c r="AP8" s="57"/>
      <c r="AQ8" s="57"/>
      <c r="AR8" s="57"/>
      <c r="AS8" s="57"/>
      <c r="AT8" s="57"/>
      <c r="AU8" s="57"/>
      <c r="AV8" s="57"/>
      <c r="AW8" s="57"/>
    </row>
    <row r="9" spans="1:49" x14ac:dyDescent="0.25">
      <c r="A9" s="70" t="str">
        <f t="shared" si="0"/>
        <v/>
      </c>
      <c r="B9" s="57"/>
      <c r="C9" s="57"/>
      <c r="D9" s="57"/>
      <c r="E9" s="57"/>
      <c r="F9" s="57"/>
      <c r="G9" s="57"/>
      <c r="H9" s="57"/>
      <c r="I9" s="57"/>
      <c r="J9" s="57"/>
      <c r="K9" s="57"/>
      <c r="L9" s="57"/>
      <c r="M9" s="57"/>
      <c r="N9" s="60"/>
      <c r="O9" s="57"/>
      <c r="P9" s="57"/>
      <c r="Q9" s="60"/>
      <c r="R9" s="57"/>
      <c r="S9" s="68"/>
      <c r="T9" s="57"/>
      <c r="U9" s="57"/>
      <c r="V9" s="57"/>
      <c r="W9" s="57"/>
      <c r="X9" s="57"/>
      <c r="Y9" s="57"/>
      <c r="Z9" s="57"/>
      <c r="AA9" s="57"/>
      <c r="AB9" s="57"/>
      <c r="AC9" s="57"/>
      <c r="AD9" s="57"/>
      <c r="AE9" s="57"/>
      <c r="AF9" s="60"/>
      <c r="AG9" s="58"/>
      <c r="AH9" s="57"/>
      <c r="AI9" s="57"/>
      <c r="AJ9" s="57"/>
      <c r="AK9" s="57"/>
      <c r="AL9" s="57"/>
      <c r="AM9" s="57"/>
      <c r="AN9" s="63"/>
      <c r="AO9" s="57"/>
      <c r="AP9" s="57"/>
      <c r="AQ9" s="57"/>
      <c r="AR9" s="57"/>
      <c r="AS9" s="57"/>
      <c r="AT9" s="57"/>
      <c r="AU9" s="57"/>
      <c r="AV9" s="57"/>
      <c r="AW9" s="57"/>
    </row>
    <row r="10" spans="1:49" x14ac:dyDescent="0.25">
      <c r="A10" s="70" t="str">
        <f t="shared" si="0"/>
        <v/>
      </c>
      <c r="B10" s="57"/>
      <c r="C10" s="57"/>
      <c r="D10" s="57"/>
      <c r="E10" s="57"/>
      <c r="F10" s="57"/>
      <c r="G10" s="57"/>
      <c r="H10" s="57"/>
      <c r="I10" s="57"/>
      <c r="J10" s="57"/>
      <c r="K10" s="57"/>
      <c r="L10" s="57"/>
      <c r="M10" s="57"/>
      <c r="N10" s="60"/>
      <c r="O10" s="57"/>
      <c r="P10" s="57"/>
      <c r="Q10" s="60"/>
      <c r="R10" s="57"/>
      <c r="S10" s="68"/>
      <c r="T10" s="57"/>
      <c r="U10" s="57"/>
      <c r="V10" s="57"/>
      <c r="W10" s="57"/>
      <c r="X10" s="57"/>
      <c r="Y10" s="57"/>
      <c r="Z10" s="57"/>
      <c r="AA10" s="57"/>
      <c r="AB10" s="57"/>
      <c r="AC10" s="57"/>
      <c r="AD10" s="57"/>
      <c r="AE10" s="57"/>
      <c r="AF10" s="60"/>
      <c r="AG10" s="58"/>
      <c r="AH10" s="57"/>
      <c r="AI10" s="57"/>
      <c r="AJ10" s="57"/>
      <c r="AK10" s="57"/>
      <c r="AL10" s="57"/>
      <c r="AM10" s="57"/>
      <c r="AN10" s="57"/>
      <c r="AO10" s="57"/>
      <c r="AP10" s="57"/>
      <c r="AQ10" s="57"/>
      <c r="AR10" s="57"/>
      <c r="AS10" s="57"/>
      <c r="AT10" s="57"/>
      <c r="AU10" s="57"/>
      <c r="AV10" s="57"/>
      <c r="AW10" s="57"/>
    </row>
    <row r="11" spans="1:49" x14ac:dyDescent="0.25">
      <c r="A11" s="70" t="str">
        <f t="shared" si="0"/>
        <v/>
      </c>
      <c r="B11" s="57"/>
      <c r="C11" s="57"/>
      <c r="D11" s="57"/>
      <c r="E11" s="57"/>
      <c r="F11" s="57"/>
      <c r="G11" s="57"/>
      <c r="H11" s="57"/>
      <c r="I11" s="57"/>
      <c r="J11" s="57"/>
      <c r="K11" s="57"/>
      <c r="L11" s="57"/>
      <c r="M11" s="57"/>
      <c r="N11" s="60"/>
      <c r="O11" s="57"/>
      <c r="P11" s="57"/>
      <c r="Q11" s="60"/>
      <c r="R11" s="57"/>
      <c r="S11" s="68"/>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row>
    <row r="12" spans="1:49" x14ac:dyDescent="0.25">
      <c r="A12" s="70" t="str">
        <f t="shared" si="0"/>
        <v/>
      </c>
      <c r="B12" s="57"/>
      <c r="C12" s="57"/>
      <c r="D12" s="57"/>
      <c r="E12" s="57"/>
      <c r="F12" s="57"/>
      <c r="G12" s="57"/>
      <c r="H12" s="57"/>
      <c r="I12" s="57"/>
      <c r="J12" s="57"/>
      <c r="K12" s="57"/>
      <c r="L12" s="57"/>
      <c r="M12" s="57"/>
      <c r="N12" s="60"/>
      <c r="O12" s="57"/>
      <c r="P12" s="57"/>
      <c r="Q12" s="60"/>
      <c r="R12" s="57"/>
      <c r="S12" s="68"/>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row>
    <row r="13" spans="1:49" x14ac:dyDescent="0.25">
      <c r="A13" s="70" t="str">
        <f t="shared" si="0"/>
        <v/>
      </c>
      <c r="B13" s="57"/>
      <c r="C13" s="57"/>
      <c r="D13" s="57"/>
      <c r="E13" s="57"/>
      <c r="F13" s="57"/>
      <c r="G13" s="57"/>
      <c r="H13" s="57"/>
      <c r="I13" s="57"/>
      <c r="J13" s="57"/>
      <c r="K13" s="57"/>
      <c r="L13" s="57"/>
      <c r="M13" s="57"/>
      <c r="N13" s="60"/>
      <c r="O13" s="57"/>
      <c r="P13" s="57"/>
      <c r="Q13" s="60"/>
      <c r="R13" s="57"/>
      <c r="S13" s="68"/>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row>
    <row r="14" spans="1:49" x14ac:dyDescent="0.25">
      <c r="A14" s="70" t="str">
        <f t="shared" si="0"/>
        <v/>
      </c>
      <c r="B14" s="57"/>
      <c r="C14" s="57"/>
      <c r="D14" s="57"/>
      <c r="E14" s="57"/>
      <c r="F14" s="57"/>
      <c r="G14" s="57"/>
      <c r="H14" s="57"/>
      <c r="I14" s="57"/>
      <c r="J14" s="57"/>
      <c r="K14" s="57"/>
      <c r="L14" s="57"/>
      <c r="M14" s="57"/>
      <c r="N14" s="60"/>
      <c r="O14" s="57"/>
      <c r="P14" s="57"/>
      <c r="Q14" s="60"/>
      <c r="R14" s="57"/>
      <c r="S14" s="68"/>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row>
    <row r="15" spans="1:49" x14ac:dyDescent="0.25">
      <c r="A15" s="70" t="str">
        <f t="shared" si="0"/>
        <v/>
      </c>
      <c r="B15" s="57"/>
      <c r="C15" s="57"/>
      <c r="D15" s="57"/>
      <c r="E15" s="57"/>
      <c r="F15" s="57"/>
      <c r="G15" s="57"/>
      <c r="H15" s="57"/>
      <c r="I15" s="57"/>
      <c r="J15" s="57"/>
      <c r="K15" s="57"/>
      <c r="L15" s="57"/>
      <c r="M15" s="57"/>
      <c r="N15" s="60"/>
      <c r="O15" s="57"/>
      <c r="P15" s="57"/>
      <c r="Q15" s="60"/>
      <c r="R15" s="57"/>
      <c r="S15" s="68"/>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row>
    <row r="16" spans="1:49" x14ac:dyDescent="0.25">
      <c r="A16" s="70" t="str">
        <f t="shared" si="0"/>
        <v/>
      </c>
      <c r="B16" s="57"/>
      <c r="C16" s="57"/>
      <c r="D16" s="57"/>
      <c r="E16" s="57"/>
      <c r="F16" s="57"/>
      <c r="G16" s="57"/>
      <c r="H16" s="57"/>
      <c r="I16" s="57"/>
      <c r="J16" s="57"/>
      <c r="K16" s="57"/>
      <c r="L16" s="57"/>
      <c r="M16" s="57"/>
      <c r="N16" s="60"/>
      <c r="O16" s="57"/>
      <c r="P16" s="57"/>
      <c r="Q16" s="60"/>
      <c r="R16" s="57"/>
      <c r="S16" s="68"/>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7"/>
      <c r="AS16" s="57"/>
      <c r="AT16" s="57"/>
      <c r="AU16" s="57"/>
      <c r="AV16" s="57"/>
      <c r="AW16" s="57"/>
    </row>
    <row r="17" spans="1:49" x14ac:dyDescent="0.25">
      <c r="A17" s="70" t="str">
        <f t="shared" si="0"/>
        <v/>
      </c>
      <c r="B17" s="57"/>
      <c r="C17" s="57"/>
      <c r="D17" s="57"/>
      <c r="E17" s="57"/>
      <c r="F17" s="57"/>
      <c r="G17" s="57"/>
      <c r="H17" s="57"/>
      <c r="I17" s="57"/>
      <c r="J17" s="57"/>
      <c r="K17" s="57"/>
      <c r="L17" s="57"/>
      <c r="M17" s="57"/>
      <c r="N17" s="60"/>
      <c r="O17" s="57"/>
      <c r="P17" s="57"/>
      <c r="Q17" s="60"/>
      <c r="R17" s="57"/>
      <c r="S17" s="68"/>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row>
    <row r="18" spans="1:49" x14ac:dyDescent="0.25">
      <c r="A18" s="70" t="str">
        <f t="shared" si="0"/>
        <v/>
      </c>
      <c r="B18" s="57"/>
      <c r="C18" s="57"/>
      <c r="D18" s="57"/>
      <c r="E18" s="57"/>
      <c r="F18" s="57"/>
      <c r="G18" s="57"/>
      <c r="H18" s="57"/>
      <c r="I18" s="57"/>
      <c r="J18" s="57"/>
      <c r="K18" s="57"/>
      <c r="L18" s="57"/>
      <c r="M18" s="57"/>
      <c r="N18" s="60"/>
      <c r="O18" s="57"/>
      <c r="P18" s="57"/>
      <c r="Q18" s="60"/>
      <c r="R18" s="57"/>
      <c r="S18" s="68"/>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row>
    <row r="19" spans="1:49" x14ac:dyDescent="0.25">
      <c r="A19" s="70" t="str">
        <f t="shared" si="0"/>
        <v/>
      </c>
      <c r="B19" s="57"/>
      <c r="C19" s="57"/>
      <c r="D19" s="57"/>
      <c r="E19" s="57"/>
      <c r="F19" s="57"/>
      <c r="G19" s="57"/>
      <c r="H19" s="57"/>
      <c r="I19" s="57"/>
      <c r="J19" s="57"/>
      <c r="K19" s="57"/>
      <c r="L19" s="57"/>
      <c r="M19" s="57"/>
      <c r="N19" s="60"/>
      <c r="O19" s="57"/>
      <c r="P19" s="57"/>
      <c r="Q19" s="60"/>
      <c r="R19" s="57"/>
      <c r="S19" s="68"/>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row>
    <row r="20" spans="1:49" x14ac:dyDescent="0.25">
      <c r="A20" s="70" t="str">
        <f t="shared" si="0"/>
        <v/>
      </c>
      <c r="B20" s="57"/>
      <c r="C20" s="57"/>
      <c r="D20" s="57"/>
      <c r="E20" s="57"/>
      <c r="F20" s="57"/>
      <c r="G20" s="57"/>
      <c r="H20" s="57"/>
      <c r="I20" s="57"/>
      <c r="J20" s="57"/>
      <c r="K20" s="57"/>
      <c r="L20" s="57"/>
      <c r="M20" s="57"/>
      <c r="N20" s="60"/>
      <c r="O20" s="57"/>
      <c r="P20" s="57"/>
      <c r="Q20" s="60"/>
      <c r="R20" s="57"/>
      <c r="S20" s="68"/>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row>
    <row r="21" spans="1:49" x14ac:dyDescent="0.25">
      <c r="A21" s="70" t="str">
        <f t="shared" si="0"/>
        <v/>
      </c>
      <c r="B21" s="57"/>
      <c r="C21" s="57"/>
      <c r="D21" s="57"/>
      <c r="E21" s="57"/>
      <c r="F21" s="57"/>
      <c r="G21" s="57"/>
      <c r="H21" s="57"/>
      <c r="I21" s="57"/>
      <c r="J21" s="57"/>
      <c r="K21" s="57"/>
      <c r="L21" s="57"/>
      <c r="M21" s="57"/>
      <c r="N21" s="60"/>
      <c r="O21" s="57"/>
      <c r="P21" s="57"/>
      <c r="Q21" s="60"/>
      <c r="R21" s="57"/>
      <c r="S21" s="68"/>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row>
    <row r="22" spans="1:49" x14ac:dyDescent="0.25">
      <c r="A22" s="70" t="str">
        <f t="shared" si="0"/>
        <v/>
      </c>
      <c r="B22" s="57"/>
      <c r="C22" s="57"/>
      <c r="D22" s="57"/>
      <c r="E22" s="57"/>
      <c r="F22" s="57"/>
      <c r="G22" s="57"/>
      <c r="H22" s="57"/>
      <c r="I22" s="57"/>
      <c r="J22" s="57"/>
      <c r="K22" s="57"/>
      <c r="L22" s="57"/>
      <c r="M22" s="57"/>
      <c r="N22" s="60"/>
      <c r="O22" s="57"/>
      <c r="P22" s="57"/>
      <c r="Q22" s="60"/>
      <c r="R22" s="57"/>
      <c r="S22" s="68"/>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row>
    <row r="23" spans="1:49" x14ac:dyDescent="0.25">
      <c r="A23" s="70" t="str">
        <f t="shared" si="0"/>
        <v/>
      </c>
      <c r="B23" s="57"/>
      <c r="C23" s="57"/>
      <c r="D23" s="57"/>
      <c r="E23" s="57"/>
      <c r="F23" s="57"/>
      <c r="G23" s="57"/>
      <c r="H23" s="57"/>
      <c r="I23" s="57"/>
      <c r="J23" s="57"/>
      <c r="K23" s="57"/>
      <c r="L23" s="57"/>
      <c r="M23" s="57"/>
      <c r="N23" s="60"/>
      <c r="O23" s="57"/>
      <c r="P23" s="57"/>
      <c r="Q23" s="60"/>
      <c r="R23" s="57"/>
      <c r="S23" s="68"/>
      <c r="T23" s="57"/>
      <c r="U23" s="57"/>
      <c r="V23" s="57"/>
      <c r="W23" s="57"/>
      <c r="X23" s="57"/>
      <c r="Y23" s="57"/>
      <c r="Z23" s="57"/>
      <c r="AA23" s="57"/>
      <c r="AB23" s="57"/>
      <c r="AC23" s="57"/>
      <c r="AD23" s="57"/>
      <c r="AE23" s="57"/>
      <c r="AF23" s="57"/>
      <c r="AG23" s="57"/>
      <c r="AH23" s="57"/>
      <c r="AI23" s="57"/>
      <c r="AJ23" s="57"/>
      <c r="AK23" s="57"/>
      <c r="AL23" s="57"/>
      <c r="AM23" s="57"/>
      <c r="AN23" s="57"/>
      <c r="AO23" s="57"/>
      <c r="AP23" s="57"/>
      <c r="AQ23" s="57"/>
      <c r="AR23" s="57"/>
      <c r="AS23" s="57"/>
      <c r="AT23" s="57"/>
      <c r="AU23" s="57"/>
      <c r="AV23" s="57"/>
      <c r="AW23" s="57"/>
    </row>
    <row r="24" spans="1:49" x14ac:dyDescent="0.25">
      <c r="A24" s="70" t="str">
        <f t="shared" si="0"/>
        <v/>
      </c>
      <c r="B24" s="57"/>
      <c r="C24" s="57"/>
      <c r="D24" s="57"/>
      <c r="E24" s="57"/>
      <c r="F24" s="57"/>
      <c r="G24" s="57"/>
      <c r="H24" s="57"/>
      <c r="I24" s="57"/>
      <c r="J24" s="57"/>
      <c r="K24" s="57"/>
      <c r="L24" s="57"/>
      <c r="M24" s="57"/>
      <c r="N24" s="60"/>
      <c r="O24" s="57"/>
      <c r="P24" s="57"/>
      <c r="Q24" s="60"/>
      <c r="R24" s="57"/>
      <c r="S24" s="68"/>
      <c r="T24" s="57"/>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row>
    <row r="25" spans="1:49" x14ac:dyDescent="0.25">
      <c r="A25" s="70" t="str">
        <f t="shared" si="0"/>
        <v/>
      </c>
      <c r="B25" s="57"/>
      <c r="C25" s="57"/>
      <c r="D25" s="57"/>
      <c r="E25" s="57"/>
      <c r="F25" s="57"/>
      <c r="G25" s="57"/>
      <c r="H25" s="57"/>
      <c r="I25" s="57"/>
      <c r="J25" s="57"/>
      <c r="K25" s="57"/>
      <c r="L25" s="57"/>
      <c r="M25" s="57"/>
      <c r="N25" s="60"/>
      <c r="O25" s="57"/>
      <c r="P25" s="57"/>
      <c r="Q25" s="60"/>
      <c r="R25" s="57"/>
      <c r="S25" s="68"/>
      <c r="T25" s="57"/>
      <c r="U25" s="57"/>
      <c r="V25" s="57"/>
      <c r="W25" s="57"/>
      <c r="X25" s="57"/>
      <c r="Y25" s="57"/>
      <c r="Z25" s="57"/>
      <c r="AA25" s="57"/>
      <c r="AB25" s="57"/>
      <c r="AC25" s="57"/>
      <c r="AD25" s="57"/>
      <c r="AE25" s="57"/>
      <c r="AF25" s="57"/>
      <c r="AG25" s="57"/>
      <c r="AH25" s="57"/>
      <c r="AI25" s="57"/>
      <c r="AJ25" s="57"/>
      <c r="AK25" s="57"/>
      <c r="AL25" s="57"/>
      <c r="AM25" s="57"/>
      <c r="AN25" s="57"/>
      <c r="AO25" s="57"/>
      <c r="AP25" s="57"/>
      <c r="AQ25" s="57"/>
      <c r="AR25" s="57"/>
      <c r="AS25" s="57"/>
      <c r="AT25" s="57"/>
      <c r="AU25" s="57"/>
      <c r="AV25" s="57"/>
      <c r="AW25" s="57"/>
    </row>
    <row r="26" spans="1:49" x14ac:dyDescent="0.25">
      <c r="A26" s="70" t="str">
        <f t="shared" si="0"/>
        <v/>
      </c>
      <c r="B26" s="57"/>
      <c r="C26" s="57"/>
      <c r="D26" s="57"/>
      <c r="E26" s="57"/>
      <c r="F26" s="57"/>
      <c r="G26" s="57"/>
      <c r="H26" s="57"/>
      <c r="I26" s="57"/>
      <c r="J26" s="57"/>
      <c r="K26" s="57"/>
      <c r="L26" s="57"/>
      <c r="M26" s="57"/>
      <c r="N26" s="60"/>
      <c r="O26" s="57"/>
      <c r="P26" s="57"/>
      <c r="Q26" s="60"/>
      <c r="R26" s="57"/>
      <c r="S26" s="68"/>
      <c r="T26" s="57"/>
      <c r="U26" s="57"/>
      <c r="V26" s="57"/>
      <c r="W26" s="57"/>
      <c r="X26" s="57"/>
      <c r="Y26" s="57"/>
      <c r="Z26" s="57"/>
      <c r="AA26" s="57"/>
      <c r="AB26" s="57"/>
      <c r="AC26" s="57"/>
      <c r="AD26" s="57"/>
      <c r="AE26" s="57"/>
      <c r="AF26" s="57"/>
      <c r="AG26" s="57"/>
      <c r="AH26" s="57"/>
      <c r="AI26" s="57"/>
      <c r="AJ26" s="57"/>
      <c r="AK26" s="57"/>
      <c r="AL26" s="57"/>
      <c r="AM26" s="57"/>
      <c r="AN26" s="57"/>
      <c r="AO26" s="57"/>
      <c r="AP26" s="57"/>
      <c r="AQ26" s="57"/>
      <c r="AR26" s="57"/>
      <c r="AS26" s="57"/>
      <c r="AT26" s="57"/>
      <c r="AU26" s="57"/>
      <c r="AV26" s="57"/>
      <c r="AW26" s="57"/>
    </row>
    <row r="27" spans="1:49" x14ac:dyDescent="0.25">
      <c r="A27" s="70" t="str">
        <f t="shared" si="0"/>
        <v/>
      </c>
      <c r="B27" s="57"/>
      <c r="C27" s="57"/>
      <c r="D27" s="57"/>
      <c r="E27" s="57"/>
      <c r="F27" s="57"/>
      <c r="G27" s="57"/>
      <c r="H27" s="57"/>
      <c r="I27" s="57"/>
      <c r="J27" s="57"/>
      <c r="K27" s="57"/>
      <c r="L27" s="57"/>
      <c r="M27" s="57"/>
      <c r="N27" s="60"/>
      <c r="O27" s="57"/>
      <c r="P27" s="57"/>
      <c r="Q27" s="60"/>
      <c r="R27" s="57"/>
      <c r="S27" s="68"/>
      <c r="T27" s="57"/>
      <c r="U27" s="57"/>
      <c r="V27" s="57"/>
      <c r="W27" s="57"/>
      <c r="X27" s="57"/>
      <c r="Y27" s="57"/>
      <c r="Z27" s="57"/>
      <c r="AA27" s="57"/>
      <c r="AB27" s="57"/>
      <c r="AC27" s="57"/>
      <c r="AD27" s="57"/>
      <c r="AE27" s="57"/>
      <c r="AF27" s="57"/>
      <c r="AG27" s="57"/>
      <c r="AH27" s="57"/>
      <c r="AI27" s="57"/>
      <c r="AJ27" s="57"/>
      <c r="AK27" s="57"/>
      <c r="AL27" s="57"/>
      <c r="AM27" s="57"/>
      <c r="AN27" s="57"/>
      <c r="AO27" s="57"/>
      <c r="AP27" s="57"/>
      <c r="AQ27" s="57"/>
      <c r="AR27" s="57"/>
      <c r="AS27" s="57"/>
      <c r="AT27" s="57"/>
      <c r="AU27" s="57"/>
      <c r="AV27" s="57"/>
      <c r="AW27" s="57"/>
    </row>
    <row r="28" spans="1:49" x14ac:dyDescent="0.25">
      <c r="A28" s="70" t="str">
        <f t="shared" si="0"/>
        <v/>
      </c>
      <c r="B28" s="57"/>
      <c r="C28" s="57"/>
      <c r="D28" s="57"/>
      <c r="E28" s="57"/>
      <c r="F28" s="57"/>
      <c r="G28" s="57"/>
      <c r="H28" s="57"/>
      <c r="I28" s="57"/>
      <c r="J28" s="57"/>
      <c r="K28" s="57"/>
      <c r="L28" s="57"/>
      <c r="M28" s="57"/>
      <c r="N28" s="60"/>
      <c r="O28" s="57"/>
      <c r="P28" s="57"/>
      <c r="Q28" s="60"/>
      <c r="R28" s="57"/>
      <c r="S28" s="68"/>
      <c r="T28" s="57"/>
      <c r="U28" s="57"/>
      <c r="V28" s="57"/>
      <c r="W28" s="57"/>
      <c r="X28" s="57"/>
      <c r="Y28" s="57"/>
      <c r="Z28" s="57"/>
      <c r="AA28" s="57"/>
      <c r="AB28" s="57"/>
      <c r="AC28" s="57"/>
      <c r="AD28" s="57"/>
      <c r="AE28" s="57"/>
      <c r="AF28" s="57"/>
      <c r="AG28" s="57"/>
      <c r="AH28" s="57"/>
      <c r="AI28" s="57"/>
      <c r="AJ28" s="57"/>
      <c r="AK28" s="57"/>
      <c r="AL28" s="57"/>
      <c r="AM28" s="57"/>
      <c r="AN28" s="57"/>
      <c r="AO28" s="57"/>
      <c r="AP28" s="57"/>
      <c r="AQ28" s="57"/>
      <c r="AR28" s="57"/>
      <c r="AS28" s="57"/>
      <c r="AT28" s="57"/>
      <c r="AU28" s="57"/>
      <c r="AV28" s="57"/>
      <c r="AW28" s="57"/>
    </row>
    <row r="29" spans="1:49" x14ac:dyDescent="0.25">
      <c r="A29" s="70" t="str">
        <f t="shared" si="0"/>
        <v/>
      </c>
      <c r="B29" s="57"/>
      <c r="C29" s="57"/>
      <c r="D29" s="57"/>
      <c r="E29" s="57"/>
      <c r="F29" s="57"/>
      <c r="G29" s="57"/>
      <c r="H29" s="57"/>
      <c r="I29" s="57"/>
      <c r="J29" s="57"/>
      <c r="K29" s="57"/>
      <c r="L29" s="57"/>
      <c r="M29" s="57"/>
      <c r="N29" s="60"/>
      <c r="O29" s="57"/>
      <c r="P29" s="57"/>
      <c r="Q29" s="60"/>
      <c r="R29" s="57"/>
      <c r="S29" s="68"/>
      <c r="T29" s="57"/>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row>
    <row r="30" spans="1:49" x14ac:dyDescent="0.25">
      <c r="A30" s="70" t="str">
        <f t="shared" si="0"/>
        <v/>
      </c>
      <c r="B30" s="57"/>
      <c r="C30" s="57"/>
      <c r="D30" s="57"/>
      <c r="E30" s="57"/>
      <c r="F30" s="57"/>
      <c r="G30" s="57"/>
      <c r="H30" s="57"/>
      <c r="I30" s="57"/>
      <c r="J30" s="57"/>
      <c r="K30" s="57"/>
      <c r="L30" s="57"/>
      <c r="M30" s="57"/>
      <c r="N30" s="60"/>
      <c r="O30" s="57"/>
      <c r="P30" s="57"/>
      <c r="Q30" s="60"/>
      <c r="R30" s="57"/>
      <c r="S30" s="68"/>
      <c r="T30" s="57"/>
      <c r="U30" s="57"/>
      <c r="V30" s="57"/>
      <c r="W30" s="57"/>
      <c r="X30" s="57"/>
      <c r="Y30" s="57"/>
      <c r="Z30" s="57"/>
      <c r="AA30" s="57"/>
      <c r="AB30" s="57"/>
      <c r="AC30" s="57"/>
      <c r="AD30" s="57"/>
      <c r="AE30" s="57"/>
      <c r="AF30" s="57"/>
      <c r="AG30" s="57"/>
      <c r="AH30" s="57"/>
      <c r="AI30" s="57"/>
      <c r="AJ30" s="57"/>
      <c r="AK30" s="57"/>
      <c r="AL30" s="57"/>
      <c r="AM30" s="57"/>
      <c r="AN30" s="57"/>
      <c r="AO30" s="57"/>
      <c r="AP30" s="57"/>
      <c r="AQ30" s="57"/>
      <c r="AR30" s="57"/>
      <c r="AS30" s="57"/>
      <c r="AT30" s="57"/>
      <c r="AU30" s="57"/>
      <c r="AV30" s="57"/>
      <c r="AW30" s="57"/>
    </row>
    <row r="31" spans="1:49" x14ac:dyDescent="0.25">
      <c r="A31" s="70" t="str">
        <f t="shared" si="0"/>
        <v/>
      </c>
      <c r="B31" s="57"/>
      <c r="C31" s="57"/>
      <c r="D31" s="57"/>
      <c r="E31" s="57"/>
      <c r="F31" s="57"/>
      <c r="G31" s="57"/>
      <c r="H31" s="57"/>
      <c r="I31" s="57"/>
      <c r="J31" s="57"/>
      <c r="K31" s="57"/>
      <c r="L31" s="57"/>
      <c r="M31" s="57"/>
      <c r="N31" s="60"/>
      <c r="O31" s="57"/>
      <c r="P31" s="57"/>
      <c r="Q31" s="60"/>
      <c r="R31" s="57"/>
      <c r="S31" s="68"/>
      <c r="T31" s="57"/>
      <c r="U31" s="57"/>
      <c r="V31" s="57"/>
      <c r="W31" s="57"/>
      <c r="X31" s="57"/>
      <c r="Y31" s="57"/>
      <c r="Z31" s="57"/>
      <c r="AA31" s="57"/>
      <c r="AB31" s="57"/>
      <c r="AC31" s="57"/>
      <c r="AD31" s="57"/>
      <c r="AE31" s="57"/>
      <c r="AF31" s="57"/>
      <c r="AG31" s="57"/>
      <c r="AH31" s="57"/>
      <c r="AI31" s="57"/>
      <c r="AJ31" s="57"/>
      <c r="AK31" s="57"/>
      <c r="AL31" s="57"/>
      <c r="AM31" s="57"/>
      <c r="AN31" s="57"/>
      <c r="AO31" s="57"/>
      <c r="AP31" s="57"/>
      <c r="AQ31" s="57"/>
      <c r="AR31" s="57"/>
      <c r="AS31" s="57"/>
      <c r="AT31" s="57"/>
      <c r="AU31" s="57"/>
      <c r="AV31" s="57"/>
      <c r="AW31" s="57"/>
    </row>
    <row r="32" spans="1:49" x14ac:dyDescent="0.25">
      <c r="A32" s="70" t="str">
        <f t="shared" si="0"/>
        <v/>
      </c>
      <c r="B32" s="57"/>
      <c r="C32" s="57"/>
      <c r="D32" s="57"/>
      <c r="E32" s="57"/>
      <c r="F32" s="57"/>
      <c r="G32" s="57"/>
      <c r="H32" s="57"/>
      <c r="I32" s="57"/>
      <c r="J32" s="57"/>
      <c r="K32" s="57"/>
      <c r="L32" s="57"/>
      <c r="M32" s="57"/>
      <c r="N32" s="60"/>
      <c r="O32" s="57"/>
      <c r="P32" s="57"/>
      <c r="Q32" s="60"/>
      <c r="R32" s="57"/>
      <c r="S32" s="68"/>
      <c r="T32" s="57"/>
      <c r="U32" s="57"/>
      <c r="V32" s="57"/>
      <c r="W32" s="57"/>
      <c r="X32" s="57"/>
      <c r="Y32" s="57"/>
      <c r="Z32" s="57"/>
      <c r="AA32" s="57"/>
      <c r="AB32" s="57"/>
      <c r="AC32" s="57"/>
      <c r="AD32" s="57"/>
      <c r="AE32" s="57"/>
      <c r="AF32" s="57"/>
      <c r="AG32" s="57"/>
      <c r="AH32" s="57"/>
      <c r="AI32" s="57"/>
      <c r="AJ32" s="57"/>
      <c r="AK32" s="57"/>
      <c r="AL32" s="57"/>
      <c r="AM32" s="57"/>
      <c r="AN32" s="57"/>
      <c r="AO32" s="57"/>
      <c r="AP32" s="57"/>
      <c r="AQ32" s="57"/>
      <c r="AR32" s="57"/>
      <c r="AS32" s="57"/>
      <c r="AT32" s="57"/>
      <c r="AU32" s="57"/>
      <c r="AV32" s="57"/>
      <c r="AW32" s="57"/>
    </row>
    <row r="33" spans="1:49" x14ac:dyDescent="0.25">
      <c r="A33" s="70" t="str">
        <f t="shared" si="0"/>
        <v/>
      </c>
      <c r="B33" s="57"/>
      <c r="C33" s="57"/>
      <c r="D33" s="57"/>
      <c r="E33" s="57"/>
      <c r="F33" s="57"/>
      <c r="G33" s="57"/>
      <c r="H33" s="57"/>
      <c r="I33" s="57"/>
      <c r="J33" s="57"/>
      <c r="K33" s="57"/>
      <c r="L33" s="57"/>
      <c r="M33" s="57"/>
      <c r="N33" s="60"/>
      <c r="O33" s="57"/>
      <c r="P33" s="57"/>
      <c r="Q33" s="60"/>
      <c r="R33" s="57"/>
      <c r="S33" s="68"/>
      <c r="T33" s="57"/>
      <c r="U33" s="57"/>
      <c r="V33" s="57"/>
      <c r="W33" s="57"/>
      <c r="X33" s="57"/>
      <c r="Y33" s="57"/>
      <c r="Z33" s="57"/>
      <c r="AA33" s="57"/>
      <c r="AB33" s="57"/>
      <c r="AC33" s="57"/>
      <c r="AD33" s="57"/>
      <c r="AE33" s="57"/>
      <c r="AF33" s="57"/>
      <c r="AG33" s="57"/>
      <c r="AH33" s="57"/>
      <c r="AI33" s="57"/>
      <c r="AJ33" s="57"/>
      <c r="AK33" s="57"/>
      <c r="AL33" s="57"/>
      <c r="AM33" s="57"/>
      <c r="AN33" s="57"/>
      <c r="AO33" s="57"/>
      <c r="AP33" s="57"/>
      <c r="AQ33" s="57"/>
      <c r="AR33" s="57"/>
      <c r="AS33" s="57"/>
      <c r="AT33" s="57"/>
      <c r="AU33" s="57"/>
      <c r="AV33" s="57"/>
      <c r="AW33" s="57"/>
    </row>
    <row r="34" spans="1:49" x14ac:dyDescent="0.25">
      <c r="A34" s="70" t="str">
        <f t="shared" si="0"/>
        <v/>
      </c>
      <c r="B34" s="57"/>
      <c r="C34" s="57"/>
      <c r="D34" s="57"/>
      <c r="E34" s="57"/>
      <c r="F34" s="57"/>
      <c r="G34" s="57"/>
      <c r="H34" s="57"/>
      <c r="I34" s="57"/>
      <c r="J34" s="57"/>
      <c r="K34" s="57"/>
      <c r="L34" s="57"/>
      <c r="M34" s="57"/>
      <c r="N34" s="60"/>
      <c r="O34" s="57"/>
      <c r="P34" s="57"/>
      <c r="Q34" s="60"/>
      <c r="R34" s="57"/>
      <c r="S34" s="68"/>
      <c r="T34" s="57"/>
      <c r="U34" s="57"/>
      <c r="V34" s="57"/>
      <c r="W34" s="57"/>
      <c r="X34" s="57"/>
      <c r="Y34" s="57"/>
      <c r="Z34" s="57"/>
      <c r="AA34" s="57"/>
      <c r="AB34" s="57"/>
      <c r="AC34" s="57"/>
      <c r="AD34" s="57"/>
      <c r="AE34" s="57"/>
      <c r="AF34" s="57"/>
      <c r="AG34" s="57"/>
      <c r="AH34" s="57"/>
      <c r="AI34" s="57"/>
      <c r="AJ34" s="57"/>
      <c r="AK34" s="57"/>
      <c r="AL34" s="57"/>
      <c r="AM34" s="57"/>
      <c r="AN34" s="57"/>
      <c r="AO34" s="57"/>
      <c r="AP34" s="57"/>
      <c r="AQ34" s="57"/>
      <c r="AR34" s="57"/>
      <c r="AS34" s="57"/>
      <c r="AT34" s="57"/>
      <c r="AU34" s="57"/>
      <c r="AV34" s="57"/>
      <c r="AW34" s="57"/>
    </row>
    <row r="35" spans="1:49" x14ac:dyDescent="0.25">
      <c r="A35" s="70" t="str">
        <f t="shared" si="0"/>
        <v/>
      </c>
      <c r="B35" s="57"/>
      <c r="C35" s="57"/>
      <c r="D35" s="57"/>
      <c r="E35" s="57"/>
      <c r="F35" s="57"/>
      <c r="G35" s="57"/>
      <c r="H35" s="57"/>
      <c r="I35" s="57"/>
      <c r="J35" s="57"/>
      <c r="K35" s="57"/>
      <c r="L35" s="57"/>
      <c r="M35" s="57"/>
      <c r="N35" s="60"/>
      <c r="O35" s="57"/>
      <c r="P35" s="57"/>
      <c r="Q35" s="60"/>
      <c r="R35" s="57"/>
      <c r="S35" s="68"/>
      <c r="T35" s="57"/>
      <c r="U35" s="57"/>
      <c r="V35" s="57"/>
      <c r="W35" s="57"/>
      <c r="X35" s="57"/>
      <c r="Y35" s="57"/>
      <c r="Z35" s="57"/>
      <c r="AA35" s="57"/>
      <c r="AB35" s="57"/>
      <c r="AC35" s="57"/>
      <c r="AD35" s="57"/>
      <c r="AE35" s="57"/>
      <c r="AF35" s="57"/>
      <c r="AG35" s="57"/>
      <c r="AH35" s="57"/>
      <c r="AI35" s="57"/>
      <c r="AJ35" s="57"/>
      <c r="AK35" s="57"/>
      <c r="AL35" s="57"/>
      <c r="AM35" s="57"/>
      <c r="AN35" s="57"/>
      <c r="AO35" s="57"/>
      <c r="AP35" s="57"/>
      <c r="AQ35" s="57"/>
      <c r="AR35" s="57"/>
      <c r="AS35" s="57"/>
      <c r="AT35" s="57"/>
    </row>
    <row r="36" spans="1:49" x14ac:dyDescent="0.25">
      <c r="A36" s="70" t="str">
        <f t="shared" si="0"/>
        <v/>
      </c>
      <c r="B36" s="57"/>
      <c r="C36" s="57"/>
      <c r="D36" s="57"/>
      <c r="E36" s="57"/>
      <c r="F36" s="57"/>
      <c r="G36" s="57"/>
      <c r="H36" s="57"/>
      <c r="I36" s="57"/>
      <c r="J36" s="57"/>
      <c r="K36" s="57"/>
      <c r="L36" s="57"/>
      <c r="M36" s="57"/>
      <c r="N36" s="60"/>
      <c r="O36" s="57"/>
      <c r="P36" s="57"/>
      <c r="Q36" s="60"/>
      <c r="R36" s="57"/>
      <c r="S36" s="68"/>
      <c r="T36" s="57"/>
      <c r="U36" s="57"/>
      <c r="V36" s="57"/>
      <c r="W36" s="57"/>
      <c r="X36" s="57"/>
      <c r="Y36" s="57"/>
      <c r="Z36" s="57"/>
      <c r="AA36" s="57"/>
      <c r="AB36" s="57"/>
      <c r="AC36" s="57"/>
      <c r="AD36" s="57"/>
      <c r="AE36" s="57"/>
      <c r="AF36" s="57"/>
      <c r="AG36" s="57"/>
      <c r="AH36" s="57"/>
      <c r="AI36" s="57"/>
      <c r="AJ36" s="57"/>
      <c r="AK36" s="57"/>
      <c r="AL36" s="57"/>
      <c r="AM36" s="57"/>
      <c r="AN36" s="57"/>
      <c r="AO36" s="57"/>
      <c r="AP36" s="57"/>
      <c r="AQ36" s="57"/>
      <c r="AR36" s="57"/>
      <c r="AS36" s="57"/>
      <c r="AT36" s="57"/>
    </row>
    <row r="37" spans="1:49" x14ac:dyDescent="0.25">
      <c r="A37" s="70" t="str">
        <f t="shared" si="0"/>
        <v/>
      </c>
      <c r="B37" s="57"/>
      <c r="C37" s="57"/>
      <c r="D37" s="57"/>
      <c r="E37" s="57"/>
      <c r="F37" s="57"/>
      <c r="G37" s="57"/>
      <c r="H37" s="57"/>
      <c r="I37" s="57"/>
      <c r="J37" s="57"/>
      <c r="K37" s="57"/>
      <c r="L37" s="57"/>
      <c r="M37" s="57"/>
      <c r="N37" s="60"/>
      <c r="O37" s="57"/>
      <c r="P37" s="57"/>
      <c r="Q37" s="60"/>
      <c r="R37" s="57"/>
      <c r="S37" s="68"/>
      <c r="T37" s="57"/>
      <c r="U37" s="57"/>
      <c r="V37" s="57"/>
      <c r="W37" s="57"/>
      <c r="X37" s="57"/>
      <c r="Y37" s="57"/>
      <c r="Z37" s="57"/>
      <c r="AA37" s="57"/>
      <c r="AB37" s="57"/>
      <c r="AC37" s="57"/>
      <c r="AD37" s="57"/>
      <c r="AE37" s="57"/>
      <c r="AF37" s="57"/>
      <c r="AG37" s="57"/>
      <c r="AH37" s="57"/>
      <c r="AI37" s="57"/>
      <c r="AJ37" s="57"/>
      <c r="AK37" s="57"/>
      <c r="AL37" s="57"/>
      <c r="AM37" s="57"/>
      <c r="AN37" s="57"/>
      <c r="AO37" s="57"/>
      <c r="AP37" s="57"/>
      <c r="AQ37" s="57"/>
      <c r="AR37" s="57"/>
      <c r="AS37" s="57"/>
      <c r="AT37" s="57"/>
    </row>
    <row r="38" spans="1:49" x14ac:dyDescent="0.25">
      <c r="A38" s="70" t="str">
        <f t="shared" si="0"/>
        <v/>
      </c>
      <c r="B38" s="57"/>
      <c r="C38" s="57"/>
      <c r="D38" s="57"/>
      <c r="E38" s="57"/>
      <c r="F38" s="57"/>
      <c r="G38" s="57"/>
      <c r="H38" s="57"/>
      <c r="I38" s="57"/>
      <c r="J38" s="57"/>
      <c r="K38" s="57"/>
      <c r="L38" s="57"/>
      <c r="M38" s="57"/>
      <c r="N38" s="60"/>
      <c r="O38" s="57"/>
      <c r="P38" s="57"/>
      <c r="Q38" s="60"/>
      <c r="R38" s="57"/>
      <c r="S38" s="68"/>
      <c r="T38" s="57"/>
      <c r="U38" s="57"/>
      <c r="V38" s="57"/>
      <c r="W38" s="57"/>
      <c r="X38" s="57"/>
      <c r="Y38" s="57"/>
      <c r="Z38" s="57"/>
      <c r="AA38" s="57"/>
      <c r="AB38" s="57"/>
      <c r="AC38" s="57"/>
      <c r="AD38" s="57"/>
      <c r="AE38" s="57"/>
      <c r="AF38" s="57"/>
      <c r="AG38" s="57"/>
      <c r="AH38" s="57"/>
      <c r="AI38" s="57"/>
      <c r="AJ38" s="57"/>
      <c r="AK38" s="57"/>
      <c r="AL38" s="57"/>
      <c r="AM38" s="57"/>
      <c r="AN38" s="57"/>
      <c r="AO38" s="57"/>
      <c r="AP38" s="57"/>
      <c r="AQ38" s="57"/>
      <c r="AR38" s="57"/>
      <c r="AS38" s="57"/>
      <c r="AT38" s="57"/>
    </row>
    <row r="39" spans="1:49" x14ac:dyDescent="0.25">
      <c r="A39" s="70" t="str">
        <f t="shared" si="0"/>
        <v/>
      </c>
      <c r="B39" s="57"/>
      <c r="C39" s="57"/>
      <c r="D39" s="57"/>
      <c r="E39" s="57"/>
      <c r="F39" s="57"/>
      <c r="G39" s="57"/>
      <c r="H39" s="57"/>
      <c r="I39" s="57"/>
      <c r="J39" s="57"/>
      <c r="K39" s="57"/>
      <c r="L39" s="57"/>
      <c r="M39" s="57"/>
      <c r="N39" s="60"/>
      <c r="O39" s="57"/>
      <c r="P39" s="57"/>
      <c r="Q39" s="60"/>
      <c r="R39" s="57"/>
      <c r="S39" s="68"/>
      <c r="T39" s="57"/>
      <c r="U39" s="57"/>
      <c r="V39" s="57"/>
      <c r="W39" s="57"/>
      <c r="X39" s="57"/>
      <c r="Y39" s="57"/>
      <c r="Z39" s="57"/>
      <c r="AA39" s="57"/>
      <c r="AB39" s="57"/>
      <c r="AC39" s="57"/>
      <c r="AD39" s="57"/>
      <c r="AE39" s="57"/>
      <c r="AF39" s="57"/>
      <c r="AG39" s="57"/>
      <c r="AH39" s="57"/>
      <c r="AI39" s="57"/>
      <c r="AJ39" s="57"/>
      <c r="AK39" s="57"/>
      <c r="AL39" s="57"/>
      <c r="AM39" s="57"/>
      <c r="AN39" s="57"/>
      <c r="AO39" s="57"/>
      <c r="AP39" s="57"/>
      <c r="AQ39" s="57"/>
      <c r="AR39" s="57"/>
      <c r="AS39" s="57"/>
      <c r="AT39" s="57"/>
    </row>
    <row r="40" spans="1:49" x14ac:dyDescent="0.25">
      <c r="A40" s="70" t="str">
        <f t="shared" si="0"/>
        <v/>
      </c>
      <c r="B40" s="57"/>
      <c r="C40" s="57"/>
      <c r="D40" s="57"/>
      <c r="E40" s="57"/>
      <c r="F40" s="57"/>
      <c r="G40" s="57"/>
      <c r="H40" s="57"/>
      <c r="I40" s="57"/>
      <c r="J40" s="57"/>
      <c r="K40" s="57"/>
      <c r="L40" s="57"/>
      <c r="M40" s="57"/>
      <c r="N40" s="60"/>
      <c r="O40" s="57"/>
      <c r="P40" s="57"/>
      <c r="Q40" s="60"/>
      <c r="R40" s="57"/>
      <c r="S40" s="68"/>
      <c r="T40" s="57"/>
      <c r="U40" s="57"/>
      <c r="V40" s="57"/>
      <c r="W40" s="57"/>
      <c r="X40" s="57"/>
      <c r="Y40" s="57"/>
      <c r="Z40" s="57"/>
      <c r="AA40" s="57"/>
      <c r="AB40" s="57"/>
      <c r="AC40" s="57"/>
      <c r="AD40" s="57"/>
      <c r="AE40" s="57"/>
      <c r="AF40" s="57"/>
      <c r="AG40" s="57"/>
      <c r="AH40" s="57"/>
      <c r="AI40" s="57"/>
      <c r="AJ40" s="57"/>
      <c r="AK40" s="57"/>
      <c r="AL40" s="57"/>
      <c r="AM40" s="57"/>
      <c r="AN40" s="57"/>
      <c r="AO40" s="57"/>
      <c r="AP40" s="57"/>
      <c r="AQ40" s="57"/>
      <c r="AR40" s="57"/>
      <c r="AS40" s="57"/>
      <c r="AT40" s="57"/>
    </row>
    <row r="41" spans="1:49" x14ac:dyDescent="0.25">
      <c r="A41" s="70" t="str">
        <f t="shared" si="0"/>
        <v/>
      </c>
      <c r="B41" s="57"/>
      <c r="C41" s="57"/>
      <c r="D41" s="57"/>
      <c r="E41" s="57"/>
      <c r="F41" s="57"/>
      <c r="G41" s="57"/>
      <c r="H41" s="57"/>
      <c r="I41" s="57"/>
      <c r="J41" s="57"/>
      <c r="K41" s="57"/>
      <c r="L41" s="57"/>
      <c r="M41" s="57"/>
      <c r="N41" s="60"/>
      <c r="O41" s="57"/>
      <c r="P41" s="57"/>
      <c r="Q41" s="60"/>
      <c r="R41" s="57"/>
      <c r="S41" s="68"/>
      <c r="T41" s="57"/>
      <c r="U41" s="57"/>
      <c r="V41" s="57"/>
      <c r="W41" s="57"/>
      <c r="X41" s="57"/>
      <c r="Y41" s="57"/>
      <c r="Z41" s="57"/>
      <c r="AA41" s="57"/>
      <c r="AB41" s="57"/>
      <c r="AC41" s="57"/>
      <c r="AD41" s="57"/>
      <c r="AE41" s="57"/>
      <c r="AF41" s="57"/>
      <c r="AG41" s="57"/>
      <c r="AH41" s="57"/>
      <c r="AI41" s="57"/>
      <c r="AJ41" s="57"/>
      <c r="AK41" s="57"/>
      <c r="AL41" s="57"/>
      <c r="AM41" s="57"/>
      <c r="AN41" s="57"/>
      <c r="AO41" s="57"/>
      <c r="AP41" s="57"/>
      <c r="AQ41" s="57"/>
      <c r="AR41" s="57"/>
      <c r="AS41" s="57"/>
      <c r="AT41" s="57"/>
    </row>
    <row r="42" spans="1:49" x14ac:dyDescent="0.25">
      <c r="A42" s="70" t="str">
        <f t="shared" si="0"/>
        <v/>
      </c>
      <c r="B42" s="57"/>
      <c r="C42" s="57"/>
      <c r="D42" s="57"/>
      <c r="E42" s="57"/>
      <c r="F42" s="57"/>
      <c r="G42" s="57"/>
      <c r="H42" s="57"/>
      <c r="I42" s="57"/>
      <c r="J42" s="57"/>
      <c r="K42" s="57"/>
      <c r="L42" s="57"/>
      <c r="M42" s="57"/>
      <c r="N42" s="60"/>
      <c r="O42" s="57"/>
      <c r="P42" s="57"/>
      <c r="Q42" s="60"/>
      <c r="R42" s="57"/>
      <c r="S42" s="68"/>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row>
    <row r="43" spans="1:49" x14ac:dyDescent="0.25">
      <c r="A43" s="70" t="str">
        <f t="shared" si="0"/>
        <v/>
      </c>
      <c r="B43" s="57"/>
      <c r="C43" s="57"/>
      <c r="D43" s="57"/>
      <c r="E43" s="57"/>
      <c r="F43" s="57"/>
      <c r="G43" s="57"/>
      <c r="H43" s="57"/>
      <c r="I43" s="57"/>
      <c r="J43" s="57"/>
      <c r="K43" s="57"/>
      <c r="L43" s="57"/>
      <c r="M43" s="57"/>
      <c r="N43" s="60"/>
      <c r="O43" s="57"/>
      <c r="P43" s="57"/>
      <c r="Q43" s="60"/>
      <c r="R43" s="57"/>
      <c r="S43" s="57"/>
      <c r="T43" s="57"/>
      <c r="U43" s="57"/>
      <c r="V43" s="57"/>
      <c r="W43" s="57"/>
      <c r="X43" s="57"/>
      <c r="Y43" s="57"/>
      <c r="Z43" s="57"/>
      <c r="AA43" s="57"/>
      <c r="AB43" s="57"/>
      <c r="AC43" s="57"/>
      <c r="AD43" s="57"/>
      <c r="AE43" s="57"/>
      <c r="AF43" s="57"/>
      <c r="AG43" s="57"/>
      <c r="AH43" s="57"/>
      <c r="AI43" s="57"/>
      <c r="AJ43" s="57"/>
      <c r="AK43" s="57"/>
      <c r="AL43" s="57"/>
      <c r="AM43" s="57"/>
      <c r="AN43" s="57"/>
      <c r="AO43" s="57"/>
      <c r="AP43" s="57"/>
      <c r="AQ43" s="57"/>
      <c r="AR43" s="57"/>
      <c r="AS43" s="57"/>
      <c r="AT43" s="57"/>
    </row>
    <row r="44" spans="1:49" x14ac:dyDescent="0.25">
      <c r="A44" s="70" t="str">
        <f t="shared" si="0"/>
        <v/>
      </c>
      <c r="B44" s="57"/>
      <c r="C44" s="57"/>
      <c r="D44" s="57"/>
      <c r="E44" s="57"/>
      <c r="F44" s="57"/>
      <c r="G44" s="57"/>
      <c r="H44" s="57"/>
      <c r="I44" s="57"/>
      <c r="J44" s="57"/>
      <c r="K44" s="57"/>
      <c r="L44" s="57"/>
      <c r="M44" s="57"/>
      <c r="N44" s="60"/>
      <c r="O44" s="57"/>
      <c r="P44" s="57"/>
      <c r="Q44" s="60"/>
      <c r="R44" s="57"/>
      <c r="S44" s="57"/>
      <c r="T44" s="57"/>
      <c r="U44" s="57"/>
      <c r="V44" s="57"/>
      <c r="W44" s="57"/>
      <c r="X44" s="57"/>
      <c r="Y44" s="57"/>
      <c r="Z44" s="57"/>
      <c r="AA44" s="57"/>
      <c r="AB44" s="57"/>
      <c r="AC44" s="57"/>
      <c r="AD44" s="57"/>
      <c r="AE44" s="57"/>
      <c r="AF44" s="57"/>
      <c r="AG44" s="57"/>
      <c r="AH44" s="57"/>
      <c r="AI44" s="57"/>
      <c r="AJ44" s="57"/>
      <c r="AK44" s="57"/>
      <c r="AL44" s="57"/>
      <c r="AM44" s="57"/>
      <c r="AN44" s="57"/>
      <c r="AO44" s="57"/>
      <c r="AP44" s="57"/>
      <c r="AQ44" s="57"/>
      <c r="AR44" s="57"/>
      <c r="AS44" s="57"/>
      <c r="AT44" s="57"/>
    </row>
    <row r="45" spans="1:49" x14ac:dyDescent="0.25">
      <c r="A45" s="70" t="str">
        <f t="shared" si="0"/>
        <v/>
      </c>
      <c r="B45" s="57"/>
      <c r="C45" s="57"/>
      <c r="D45" s="57"/>
      <c r="E45" s="57"/>
      <c r="F45" s="57"/>
      <c r="G45" s="57"/>
      <c r="H45" s="57"/>
      <c r="I45" s="57"/>
      <c r="J45" s="57"/>
      <c r="K45" s="57"/>
      <c r="L45" s="57"/>
      <c r="M45" s="57"/>
      <c r="N45" s="60"/>
      <c r="O45" s="57"/>
      <c r="P45" s="57"/>
      <c r="Q45" s="60"/>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c r="AP45" s="57"/>
      <c r="AQ45" s="57"/>
      <c r="AR45" s="57"/>
      <c r="AS45" s="57"/>
      <c r="AT45" s="57"/>
    </row>
    <row r="46" spans="1:49" x14ac:dyDescent="0.25">
      <c r="A46" s="70" t="str">
        <f t="shared" si="0"/>
        <v/>
      </c>
      <c r="B46" s="57"/>
      <c r="C46" s="57"/>
      <c r="D46" s="57"/>
      <c r="E46" s="57"/>
      <c r="F46" s="57"/>
      <c r="G46" s="57"/>
      <c r="H46" s="57"/>
      <c r="I46" s="57"/>
      <c r="J46" s="57"/>
      <c r="K46" s="57"/>
      <c r="L46" s="57"/>
      <c r="M46" s="57"/>
      <c r="N46" s="60"/>
      <c r="O46" s="57"/>
      <c r="P46" s="57"/>
      <c r="Q46" s="60"/>
      <c r="R46" s="57"/>
      <c r="S46" s="57"/>
      <c r="T46" s="57"/>
      <c r="U46" s="57"/>
      <c r="V46" s="57"/>
      <c r="W46" s="57"/>
      <c r="X46" s="57"/>
      <c r="Y46" s="57"/>
      <c r="Z46" s="57"/>
      <c r="AA46" s="57"/>
      <c r="AB46" s="57"/>
      <c r="AC46" s="57"/>
      <c r="AD46" s="57"/>
      <c r="AE46" s="57"/>
      <c r="AF46" s="57"/>
      <c r="AG46" s="57"/>
      <c r="AH46" s="57"/>
      <c r="AI46" s="57"/>
      <c r="AJ46" s="57"/>
      <c r="AK46" s="57"/>
      <c r="AL46" s="57"/>
      <c r="AM46" s="57"/>
      <c r="AN46" s="57"/>
      <c r="AO46" s="57"/>
      <c r="AP46" s="57"/>
      <c r="AQ46" s="57"/>
      <c r="AR46" s="57"/>
      <c r="AS46" s="57"/>
      <c r="AT46" s="57"/>
    </row>
    <row r="47" spans="1:49" x14ac:dyDescent="0.25">
      <c r="A47" s="70" t="str">
        <f t="shared" si="0"/>
        <v/>
      </c>
      <c r="B47" s="57"/>
      <c r="C47" s="57"/>
      <c r="D47" s="57"/>
      <c r="E47" s="57"/>
      <c r="F47" s="57"/>
      <c r="G47" s="57"/>
      <c r="H47" s="57"/>
      <c r="I47" s="57"/>
      <c r="J47" s="57"/>
      <c r="K47" s="57"/>
      <c r="L47" s="57"/>
      <c r="M47" s="57"/>
      <c r="N47" s="60"/>
      <c r="O47" s="57"/>
      <c r="P47" s="57"/>
      <c r="Q47" s="60"/>
      <c r="R47" s="57"/>
      <c r="S47" s="57"/>
      <c r="T47" s="57"/>
      <c r="U47" s="57"/>
      <c r="V47" s="57"/>
      <c r="W47" s="57"/>
      <c r="X47" s="57"/>
      <c r="Y47" s="57"/>
      <c r="Z47" s="57"/>
      <c r="AA47" s="57"/>
      <c r="AB47" s="57"/>
      <c r="AC47" s="57"/>
      <c r="AD47" s="57"/>
      <c r="AE47" s="57"/>
      <c r="AF47" s="57"/>
      <c r="AG47" s="57"/>
      <c r="AH47" s="57"/>
      <c r="AI47" s="57"/>
      <c r="AJ47" s="57"/>
      <c r="AK47" s="57"/>
      <c r="AL47" s="57"/>
      <c r="AM47" s="57"/>
      <c r="AN47" s="57"/>
      <c r="AO47" s="57"/>
      <c r="AP47" s="57"/>
      <c r="AQ47" s="57"/>
      <c r="AR47" s="57"/>
      <c r="AS47" s="57"/>
      <c r="AT47" s="57"/>
    </row>
    <row r="48" spans="1:49" x14ac:dyDescent="0.25">
      <c r="A48" s="70" t="str">
        <f t="shared" si="0"/>
        <v/>
      </c>
      <c r="B48" s="57"/>
      <c r="C48" s="57"/>
      <c r="D48" s="57"/>
      <c r="E48" s="57"/>
      <c r="F48" s="57"/>
      <c r="G48" s="57"/>
      <c r="H48" s="57"/>
      <c r="I48" s="57"/>
      <c r="J48" s="57"/>
      <c r="K48" s="57"/>
      <c r="L48" s="57"/>
      <c r="M48" s="57"/>
      <c r="N48" s="60"/>
      <c r="O48" s="57"/>
      <c r="P48" s="57"/>
      <c r="Q48" s="60"/>
      <c r="R48" s="57"/>
      <c r="S48" s="57"/>
      <c r="T48" s="57"/>
      <c r="U48" s="57"/>
      <c r="V48" s="57"/>
      <c r="W48" s="57"/>
      <c r="X48" s="57"/>
      <c r="Y48" s="57"/>
      <c r="Z48" s="57"/>
      <c r="AA48" s="57"/>
      <c r="AB48" s="57"/>
      <c r="AC48" s="57"/>
      <c r="AD48" s="57"/>
      <c r="AE48" s="57"/>
      <c r="AF48" s="57"/>
      <c r="AG48" s="57"/>
      <c r="AH48" s="57"/>
      <c r="AI48" s="57"/>
      <c r="AJ48" s="57"/>
      <c r="AK48" s="57"/>
      <c r="AL48" s="57"/>
      <c r="AM48" s="57"/>
      <c r="AN48" s="57"/>
      <c r="AO48" s="57"/>
      <c r="AP48" s="57"/>
      <c r="AQ48" s="57"/>
      <c r="AR48" s="57"/>
      <c r="AS48" s="57"/>
      <c r="AT48" s="57"/>
    </row>
    <row r="49" spans="1:46" x14ac:dyDescent="0.25">
      <c r="A49" s="70" t="str">
        <f t="shared" si="0"/>
        <v/>
      </c>
      <c r="B49" s="57"/>
      <c r="C49" s="57"/>
      <c r="D49" s="57"/>
      <c r="E49" s="57"/>
      <c r="F49" s="57"/>
      <c r="G49" s="57"/>
      <c r="H49" s="57"/>
      <c r="I49" s="57"/>
      <c r="J49" s="57"/>
      <c r="K49" s="57"/>
      <c r="L49" s="57"/>
      <c r="M49" s="57"/>
      <c r="N49" s="60"/>
      <c r="O49" s="57"/>
      <c r="P49" s="57"/>
      <c r="Q49" s="60"/>
      <c r="R49" s="57"/>
      <c r="S49" s="57"/>
      <c r="T49" s="57"/>
      <c r="U49" s="57"/>
      <c r="V49" s="57"/>
      <c r="W49" s="57"/>
      <c r="X49" s="57"/>
      <c r="Y49" s="57"/>
      <c r="Z49" s="57"/>
      <c r="AA49" s="57"/>
      <c r="AB49" s="57"/>
      <c r="AC49" s="57"/>
      <c r="AD49" s="57"/>
      <c r="AE49" s="57"/>
      <c r="AF49" s="57"/>
      <c r="AG49" s="57"/>
      <c r="AH49" s="57"/>
      <c r="AI49" s="57"/>
      <c r="AJ49" s="57"/>
      <c r="AK49" s="57"/>
      <c r="AL49" s="57"/>
      <c r="AM49" s="57"/>
      <c r="AN49" s="57"/>
      <c r="AO49" s="57"/>
      <c r="AP49" s="57"/>
      <c r="AQ49" s="57"/>
      <c r="AR49" s="57"/>
      <c r="AS49" s="57"/>
      <c r="AT49" s="57"/>
    </row>
    <row r="50" spans="1:46" x14ac:dyDescent="0.25">
      <c r="A50" s="70" t="str">
        <f t="shared" si="0"/>
        <v/>
      </c>
      <c r="B50" s="57"/>
      <c r="C50" s="57"/>
      <c r="D50" s="57"/>
      <c r="E50" s="57"/>
      <c r="F50" s="57"/>
      <c r="G50" s="57"/>
      <c r="H50" s="57"/>
      <c r="I50" s="57"/>
      <c r="J50" s="57"/>
      <c r="K50" s="57"/>
      <c r="L50" s="57"/>
      <c r="M50" s="57"/>
      <c r="N50" s="60"/>
      <c r="O50" s="57"/>
      <c r="P50" s="57"/>
      <c r="Q50" s="60"/>
      <c r="R50" s="57"/>
      <c r="S50" s="57"/>
      <c r="T50" s="57"/>
      <c r="U50" s="57"/>
      <c r="V50" s="57"/>
      <c r="W50" s="57"/>
      <c r="X50" s="57"/>
      <c r="Y50" s="57"/>
      <c r="Z50" s="57"/>
      <c r="AA50" s="57"/>
      <c r="AB50" s="57"/>
      <c r="AC50" s="57"/>
      <c r="AD50" s="57"/>
      <c r="AE50" s="57"/>
      <c r="AF50" s="57"/>
      <c r="AG50" s="57"/>
      <c r="AH50" s="57"/>
      <c r="AI50" s="57"/>
      <c r="AJ50" s="57"/>
      <c r="AK50" s="57"/>
      <c r="AL50" s="57"/>
      <c r="AM50" s="57"/>
      <c r="AN50" s="57"/>
      <c r="AO50" s="57"/>
      <c r="AP50" s="57"/>
      <c r="AQ50" s="57"/>
      <c r="AR50" s="57"/>
      <c r="AS50" s="57"/>
      <c r="AT50" s="57"/>
    </row>
    <row r="51" spans="1:46" x14ac:dyDescent="0.25">
      <c r="A51" s="70" t="str">
        <f t="shared" si="0"/>
        <v/>
      </c>
      <c r="B51" s="57"/>
      <c r="C51" s="57"/>
      <c r="D51" s="57"/>
      <c r="E51" s="57"/>
      <c r="F51" s="57"/>
      <c r="G51" s="57"/>
      <c r="H51" s="57"/>
      <c r="I51" s="57"/>
      <c r="J51" s="57"/>
      <c r="K51" s="57"/>
      <c r="L51" s="57"/>
      <c r="M51" s="57"/>
      <c r="N51" s="60"/>
      <c r="O51" s="57"/>
      <c r="P51" s="57"/>
      <c r="Q51" s="60"/>
      <c r="R51" s="57"/>
      <c r="S51" s="57"/>
      <c r="T51" s="57"/>
      <c r="U51" s="57"/>
      <c r="V51" s="57"/>
      <c r="W51" s="57"/>
      <c r="X51" s="57"/>
      <c r="Y51" s="57"/>
      <c r="Z51" s="57"/>
      <c r="AA51" s="57"/>
      <c r="AB51" s="57"/>
      <c r="AC51" s="57"/>
      <c r="AD51" s="57"/>
      <c r="AE51" s="57"/>
      <c r="AF51" s="57"/>
      <c r="AG51" s="57"/>
      <c r="AH51" s="57"/>
      <c r="AI51" s="57"/>
      <c r="AJ51" s="57"/>
      <c r="AK51" s="57"/>
      <c r="AL51" s="57"/>
      <c r="AM51" s="57"/>
      <c r="AN51" s="57"/>
      <c r="AO51" s="57"/>
      <c r="AP51" s="57"/>
      <c r="AQ51" s="57"/>
      <c r="AR51" s="57"/>
      <c r="AS51" s="57"/>
      <c r="AT51" s="57"/>
    </row>
    <row r="52" spans="1:46" x14ac:dyDescent="0.25">
      <c r="A52" s="70" t="str">
        <f t="shared" si="0"/>
        <v/>
      </c>
      <c r="B52" s="57"/>
      <c r="C52" s="57"/>
      <c r="D52" s="57"/>
      <c r="E52" s="57"/>
      <c r="F52" s="57"/>
      <c r="G52" s="57"/>
      <c r="H52" s="57"/>
      <c r="I52" s="57"/>
      <c r="J52" s="57"/>
      <c r="K52" s="57"/>
      <c r="L52" s="57"/>
      <c r="M52" s="57"/>
      <c r="N52" s="60"/>
      <c r="O52" s="57"/>
      <c r="P52" s="57"/>
      <c r="Q52" s="60"/>
      <c r="R52" s="57"/>
      <c r="S52" s="57"/>
      <c r="T52" s="57"/>
      <c r="U52" s="57"/>
      <c r="V52" s="57"/>
      <c r="W52" s="57"/>
      <c r="X52" s="57"/>
      <c r="Y52" s="57"/>
      <c r="Z52" s="57"/>
      <c r="AA52" s="57"/>
      <c r="AB52" s="57"/>
      <c r="AC52" s="57"/>
      <c r="AD52" s="57"/>
      <c r="AE52" s="57"/>
      <c r="AF52" s="57"/>
      <c r="AG52" s="57"/>
      <c r="AH52" s="57"/>
      <c r="AI52" s="57"/>
      <c r="AJ52" s="57"/>
      <c r="AK52" s="57"/>
      <c r="AL52" s="57"/>
      <c r="AM52" s="57"/>
      <c r="AN52" s="57"/>
      <c r="AO52" s="57"/>
      <c r="AP52" s="57"/>
      <c r="AQ52" s="57"/>
      <c r="AR52" s="57"/>
      <c r="AS52" s="57"/>
      <c r="AT52" s="57"/>
    </row>
    <row r="53" spans="1:46" x14ac:dyDescent="0.25">
      <c r="A53" s="70" t="str">
        <f t="shared" si="0"/>
        <v/>
      </c>
      <c r="B53" s="57"/>
      <c r="C53" s="57"/>
      <c r="D53" s="57"/>
      <c r="E53" s="57"/>
      <c r="F53" s="57"/>
      <c r="G53" s="57"/>
      <c r="H53" s="57"/>
      <c r="I53" s="57"/>
      <c r="J53" s="57"/>
      <c r="K53" s="57"/>
      <c r="L53" s="57"/>
      <c r="M53" s="57"/>
      <c r="N53" s="60"/>
      <c r="O53" s="57"/>
      <c r="P53" s="57"/>
      <c r="Q53" s="60"/>
      <c r="R53" s="57"/>
      <c r="S53" s="57"/>
      <c r="T53" s="57"/>
      <c r="U53" s="57"/>
      <c r="V53" s="57"/>
      <c r="W53" s="57"/>
      <c r="X53" s="57"/>
      <c r="Y53" s="57"/>
      <c r="Z53" s="57"/>
      <c r="AA53" s="57"/>
      <c r="AB53" s="57"/>
      <c r="AC53" s="57"/>
      <c r="AD53" s="57"/>
      <c r="AE53" s="57"/>
      <c r="AF53" s="57"/>
      <c r="AG53" s="57"/>
      <c r="AH53" s="57"/>
      <c r="AI53" s="57"/>
      <c r="AJ53" s="57"/>
      <c r="AK53" s="57"/>
      <c r="AL53" s="57"/>
      <c r="AM53" s="57"/>
      <c r="AN53" s="57"/>
      <c r="AO53" s="57"/>
      <c r="AP53" s="57"/>
      <c r="AQ53" s="57"/>
      <c r="AR53" s="57"/>
      <c r="AS53" s="57"/>
      <c r="AT53" s="57"/>
    </row>
    <row r="54" spans="1:46" x14ac:dyDescent="0.25">
      <c r="A54" s="70" t="str">
        <f t="shared" si="0"/>
        <v/>
      </c>
      <c r="B54" s="57"/>
      <c r="C54" s="57"/>
      <c r="D54" s="57"/>
      <c r="E54" s="57"/>
      <c r="F54" s="57"/>
      <c r="G54" s="57"/>
      <c r="H54" s="57"/>
      <c r="I54" s="57"/>
      <c r="J54" s="57"/>
      <c r="K54" s="57"/>
      <c r="L54" s="57"/>
      <c r="M54" s="57"/>
      <c r="N54" s="60"/>
      <c r="O54" s="57"/>
      <c r="P54" s="57"/>
      <c r="Q54" s="60"/>
      <c r="R54" s="57"/>
      <c r="S54" s="57"/>
      <c r="T54" s="57"/>
      <c r="U54" s="57"/>
      <c r="V54" s="57"/>
      <c r="W54" s="57"/>
      <c r="X54" s="57"/>
      <c r="Y54" s="57"/>
      <c r="Z54" s="57"/>
      <c r="AA54" s="57"/>
      <c r="AB54" s="57"/>
      <c r="AC54" s="57"/>
      <c r="AD54" s="57"/>
      <c r="AE54" s="57"/>
      <c r="AF54" s="57"/>
      <c r="AG54" s="57"/>
      <c r="AH54" s="57"/>
      <c r="AI54" s="57"/>
      <c r="AJ54" s="57"/>
      <c r="AK54" s="57"/>
      <c r="AL54" s="57"/>
      <c r="AM54" s="57"/>
      <c r="AN54" s="57"/>
      <c r="AO54" s="57"/>
      <c r="AP54" s="57"/>
      <c r="AQ54" s="57"/>
      <c r="AR54" s="57"/>
      <c r="AS54" s="57"/>
      <c r="AT54" s="57"/>
    </row>
    <row r="55" spans="1:46" x14ac:dyDescent="0.25">
      <c r="A55" s="70" t="str">
        <f t="shared" si="0"/>
        <v/>
      </c>
      <c r="B55" s="57"/>
      <c r="C55" s="57"/>
      <c r="D55" s="57"/>
      <c r="E55" s="57"/>
      <c r="F55" s="57"/>
      <c r="G55" s="57"/>
      <c r="H55" s="57"/>
      <c r="I55" s="57"/>
      <c r="J55" s="57"/>
      <c r="K55" s="57"/>
      <c r="L55" s="57"/>
      <c r="M55" s="57"/>
      <c r="N55" s="60"/>
      <c r="O55" s="57"/>
      <c r="P55" s="57"/>
      <c r="Q55" s="60"/>
      <c r="R55" s="57"/>
      <c r="S55" s="57"/>
      <c r="T55" s="57"/>
      <c r="U55" s="57"/>
      <c r="V55" s="57"/>
      <c r="W55" s="57"/>
      <c r="X55" s="57"/>
      <c r="Y55" s="57"/>
      <c r="Z55" s="57"/>
      <c r="AA55" s="57"/>
      <c r="AB55" s="57"/>
      <c r="AC55" s="57"/>
      <c r="AD55" s="57"/>
      <c r="AE55" s="57"/>
      <c r="AF55" s="57"/>
      <c r="AG55" s="57"/>
      <c r="AH55" s="57"/>
      <c r="AI55" s="57"/>
      <c r="AJ55" s="57"/>
      <c r="AK55" s="57"/>
      <c r="AL55" s="57"/>
      <c r="AM55" s="57"/>
      <c r="AN55" s="57"/>
      <c r="AO55" s="57"/>
      <c r="AP55" s="57"/>
      <c r="AQ55" s="57"/>
      <c r="AR55" s="57"/>
      <c r="AS55" s="57"/>
      <c r="AT55" s="57"/>
    </row>
    <row r="56" spans="1:46" x14ac:dyDescent="0.25">
      <c r="A56" s="70" t="str">
        <f t="shared" si="0"/>
        <v/>
      </c>
      <c r="B56" s="57"/>
      <c r="C56" s="57"/>
      <c r="D56" s="57"/>
      <c r="E56" s="57"/>
      <c r="F56" s="57"/>
      <c r="G56" s="57"/>
      <c r="H56" s="57"/>
      <c r="I56" s="57"/>
      <c r="J56" s="57"/>
      <c r="K56" s="57"/>
      <c r="L56" s="57"/>
      <c r="M56" s="57"/>
      <c r="N56" s="60"/>
      <c r="O56" s="57"/>
      <c r="P56" s="57"/>
      <c r="Q56" s="60"/>
      <c r="R56" s="57"/>
      <c r="S56" s="57"/>
      <c r="T56" s="57"/>
      <c r="U56" s="57"/>
      <c r="V56" s="57"/>
      <c r="W56" s="57"/>
      <c r="X56" s="57"/>
      <c r="Y56" s="57"/>
      <c r="Z56" s="57"/>
      <c r="AA56" s="57"/>
      <c r="AB56" s="57"/>
      <c r="AC56" s="57"/>
      <c r="AD56" s="57"/>
      <c r="AE56" s="57"/>
      <c r="AF56" s="57"/>
      <c r="AG56" s="57"/>
      <c r="AH56" s="57"/>
      <c r="AI56" s="57"/>
      <c r="AJ56" s="57"/>
      <c r="AK56" s="57"/>
      <c r="AL56" s="57"/>
      <c r="AM56" s="57"/>
      <c r="AN56" s="57"/>
      <c r="AO56" s="57"/>
      <c r="AP56" s="57"/>
      <c r="AQ56" s="57"/>
      <c r="AR56" s="57"/>
      <c r="AS56" s="57"/>
      <c r="AT56" s="57"/>
    </row>
    <row r="57" spans="1:46" x14ac:dyDescent="0.25">
      <c r="A57" s="70" t="str">
        <f t="shared" si="0"/>
        <v/>
      </c>
      <c r="B57" s="57"/>
      <c r="C57" s="57"/>
      <c r="D57" s="57"/>
      <c r="E57" s="57"/>
      <c r="F57" s="57"/>
      <c r="G57" s="57"/>
      <c r="H57" s="57"/>
      <c r="I57" s="57"/>
      <c r="J57" s="57"/>
      <c r="K57" s="57"/>
      <c r="L57" s="57"/>
      <c r="M57" s="57"/>
      <c r="N57" s="60"/>
      <c r="O57" s="57"/>
      <c r="P57" s="57"/>
      <c r="Q57" s="60"/>
      <c r="R57" s="57"/>
      <c r="S57" s="57"/>
      <c r="T57" s="57"/>
      <c r="U57" s="57"/>
      <c r="V57" s="57"/>
      <c r="W57" s="57"/>
      <c r="X57" s="57"/>
      <c r="Y57" s="57"/>
      <c r="Z57" s="57"/>
      <c r="AA57" s="57"/>
      <c r="AB57" s="57"/>
      <c r="AC57" s="57"/>
      <c r="AD57" s="57"/>
      <c r="AE57" s="57"/>
      <c r="AF57" s="57"/>
      <c r="AG57" s="57"/>
      <c r="AH57" s="57"/>
      <c r="AI57" s="57"/>
      <c r="AJ57" s="57"/>
      <c r="AK57" s="57"/>
      <c r="AL57" s="57"/>
      <c r="AM57" s="57"/>
      <c r="AN57" s="57"/>
      <c r="AO57" s="57"/>
      <c r="AP57" s="57"/>
      <c r="AQ57" s="57"/>
      <c r="AR57" s="57"/>
      <c r="AS57" s="57"/>
      <c r="AT57" s="57"/>
    </row>
    <row r="58" spans="1:46" x14ac:dyDescent="0.25">
      <c r="A58" s="70" t="str">
        <f t="shared" si="0"/>
        <v/>
      </c>
      <c r="B58" s="57"/>
      <c r="C58" s="57"/>
      <c r="D58" s="57"/>
      <c r="E58" s="57"/>
      <c r="F58" s="57"/>
      <c r="G58" s="57"/>
      <c r="H58" s="57"/>
      <c r="I58" s="57"/>
      <c r="J58" s="57"/>
      <c r="K58" s="57"/>
      <c r="L58" s="57"/>
      <c r="M58" s="57"/>
      <c r="N58" s="60"/>
      <c r="O58" s="57"/>
      <c r="P58" s="57"/>
      <c r="Q58" s="60"/>
      <c r="R58" s="57"/>
      <c r="S58" s="57"/>
      <c r="T58" s="57"/>
      <c r="U58" s="57"/>
      <c r="V58" s="57"/>
      <c r="W58" s="57"/>
      <c r="X58" s="57"/>
      <c r="Y58" s="57"/>
      <c r="Z58" s="57"/>
      <c r="AA58" s="57"/>
      <c r="AB58" s="57"/>
      <c r="AC58" s="57"/>
      <c r="AD58" s="57"/>
      <c r="AE58" s="57"/>
      <c r="AF58" s="57"/>
      <c r="AG58" s="57"/>
      <c r="AH58" s="57"/>
      <c r="AI58" s="57"/>
      <c r="AJ58" s="57"/>
      <c r="AK58" s="57"/>
      <c r="AL58" s="57"/>
      <c r="AM58" s="57"/>
      <c r="AN58" s="57"/>
      <c r="AO58" s="57"/>
      <c r="AP58" s="57"/>
      <c r="AQ58" s="57"/>
      <c r="AR58" s="57"/>
      <c r="AS58" s="57"/>
      <c r="AT58" s="57"/>
    </row>
    <row r="59" spans="1:46" x14ac:dyDescent="0.25">
      <c r="A59" s="70" t="str">
        <f t="shared" si="0"/>
        <v/>
      </c>
      <c r="B59" s="57"/>
      <c r="C59" s="57"/>
      <c r="D59" s="57"/>
      <c r="E59" s="57"/>
      <c r="F59" s="57"/>
      <c r="G59" s="57"/>
      <c r="H59" s="57"/>
      <c r="I59" s="57"/>
      <c r="J59" s="57"/>
      <c r="K59" s="57"/>
      <c r="L59" s="57"/>
      <c r="M59" s="57"/>
      <c r="N59" s="60"/>
      <c r="O59" s="57"/>
      <c r="P59" s="57"/>
      <c r="Q59" s="60"/>
      <c r="R59" s="57"/>
      <c r="S59" s="57"/>
      <c r="T59" s="57"/>
      <c r="U59" s="57"/>
      <c r="V59" s="57"/>
      <c r="W59" s="57"/>
      <c r="X59" s="57"/>
      <c r="Y59" s="57"/>
      <c r="Z59" s="57"/>
      <c r="AA59" s="57"/>
      <c r="AB59" s="57"/>
      <c r="AC59" s="57"/>
      <c r="AD59" s="57"/>
      <c r="AE59" s="57"/>
      <c r="AF59" s="57"/>
      <c r="AG59" s="57"/>
      <c r="AH59" s="57"/>
      <c r="AI59" s="57"/>
      <c r="AJ59" s="57"/>
      <c r="AK59" s="57"/>
      <c r="AL59" s="57"/>
      <c r="AM59" s="57"/>
      <c r="AN59" s="57"/>
      <c r="AO59" s="57"/>
      <c r="AP59" s="57"/>
      <c r="AQ59" s="57"/>
      <c r="AR59" s="57"/>
      <c r="AS59" s="57"/>
      <c r="AT59" s="57"/>
    </row>
    <row r="60" spans="1:46" x14ac:dyDescent="0.25">
      <c r="A60" s="70" t="str">
        <f t="shared" si="0"/>
        <v/>
      </c>
      <c r="B60" s="57"/>
      <c r="C60" s="57"/>
      <c r="D60" s="57"/>
      <c r="E60" s="57"/>
      <c r="F60" s="57"/>
      <c r="G60" s="57"/>
      <c r="H60" s="57"/>
      <c r="I60" s="57"/>
      <c r="J60" s="57"/>
      <c r="K60" s="57"/>
      <c r="L60" s="57"/>
      <c r="M60" s="57"/>
      <c r="N60" s="60"/>
      <c r="O60" s="57"/>
      <c r="P60" s="57"/>
      <c r="Q60" s="60"/>
      <c r="R60" s="57"/>
      <c r="S60" s="57"/>
      <c r="T60" s="57"/>
      <c r="U60" s="57"/>
      <c r="V60" s="57"/>
      <c r="W60" s="57"/>
      <c r="X60" s="57"/>
      <c r="Y60" s="57"/>
      <c r="Z60" s="57"/>
      <c r="AA60" s="57"/>
      <c r="AB60" s="57"/>
      <c r="AC60" s="57"/>
      <c r="AD60" s="57"/>
      <c r="AE60" s="57"/>
      <c r="AF60" s="57"/>
      <c r="AG60" s="57"/>
      <c r="AH60" s="57"/>
      <c r="AI60" s="57"/>
      <c r="AJ60" s="57"/>
      <c r="AK60" s="57"/>
      <c r="AL60" s="57"/>
      <c r="AM60" s="57"/>
      <c r="AN60" s="57"/>
      <c r="AO60" s="57"/>
      <c r="AP60" s="57"/>
      <c r="AQ60" s="57"/>
      <c r="AR60" s="57"/>
      <c r="AS60" s="57"/>
      <c r="AT60" s="57"/>
    </row>
    <row r="61" spans="1:46" x14ac:dyDescent="0.25">
      <c r="A61" s="70" t="str">
        <f t="shared" si="0"/>
        <v/>
      </c>
      <c r="B61" s="57"/>
      <c r="C61" s="57"/>
      <c r="D61" s="57"/>
      <c r="E61" s="57"/>
      <c r="F61" s="57"/>
      <c r="G61" s="57"/>
      <c r="H61" s="57"/>
      <c r="I61" s="57"/>
      <c r="J61" s="57"/>
      <c r="K61" s="57"/>
      <c r="L61" s="57"/>
      <c r="M61" s="57"/>
      <c r="N61" s="60"/>
      <c r="O61" s="57"/>
      <c r="P61" s="57"/>
      <c r="Q61" s="60"/>
      <c r="R61" s="57"/>
      <c r="S61" s="57"/>
      <c r="T61" s="57"/>
      <c r="U61" s="57"/>
      <c r="V61" s="57"/>
      <c r="W61" s="57"/>
      <c r="X61" s="57"/>
      <c r="Y61" s="57"/>
      <c r="Z61" s="57"/>
      <c r="AA61" s="57"/>
      <c r="AB61" s="57"/>
      <c r="AC61" s="57"/>
      <c r="AD61" s="57"/>
      <c r="AE61" s="57"/>
      <c r="AF61" s="57"/>
      <c r="AG61" s="57"/>
      <c r="AH61" s="57"/>
      <c r="AI61" s="57"/>
      <c r="AJ61" s="57"/>
      <c r="AK61" s="57"/>
      <c r="AL61" s="57"/>
      <c r="AM61" s="57"/>
      <c r="AN61" s="57"/>
      <c r="AO61" s="57"/>
      <c r="AP61" s="57"/>
      <c r="AQ61" s="57"/>
      <c r="AR61" s="57"/>
      <c r="AS61" s="57"/>
      <c r="AT61" s="57"/>
    </row>
    <row r="62" spans="1:46" x14ac:dyDescent="0.25">
      <c r="A62" s="70" t="str">
        <f t="shared" si="0"/>
        <v/>
      </c>
      <c r="B62" s="57"/>
      <c r="C62" s="57"/>
      <c r="D62" s="57"/>
      <c r="E62" s="57"/>
      <c r="F62" s="57"/>
      <c r="G62" s="57"/>
      <c r="H62" s="57"/>
      <c r="I62" s="57"/>
      <c r="J62" s="57"/>
      <c r="K62" s="57"/>
      <c r="L62" s="57"/>
      <c r="M62" s="57"/>
      <c r="N62" s="60"/>
      <c r="O62" s="57"/>
      <c r="P62" s="57"/>
      <c r="Q62" s="60"/>
      <c r="R62" s="57"/>
      <c r="S62" s="57"/>
      <c r="T62" s="57"/>
      <c r="U62" s="57"/>
      <c r="V62" s="57"/>
      <c r="W62" s="57"/>
      <c r="X62" s="57"/>
      <c r="Y62" s="57"/>
      <c r="Z62" s="57"/>
      <c r="AA62" s="57"/>
      <c r="AB62" s="57"/>
      <c r="AC62" s="57"/>
      <c r="AD62" s="57"/>
      <c r="AE62" s="57"/>
      <c r="AF62" s="57"/>
      <c r="AG62" s="57"/>
      <c r="AH62" s="57"/>
      <c r="AI62" s="57"/>
      <c r="AJ62" s="57"/>
      <c r="AK62" s="57"/>
      <c r="AL62" s="57"/>
      <c r="AM62" s="57"/>
      <c r="AN62" s="57"/>
      <c r="AO62" s="57"/>
      <c r="AP62" s="57"/>
      <c r="AQ62" s="57"/>
      <c r="AR62" s="57"/>
      <c r="AS62" s="57"/>
      <c r="AT62" s="57"/>
    </row>
    <row r="63" spans="1:46" x14ac:dyDescent="0.25">
      <c r="A63" s="70" t="str">
        <f t="shared" si="0"/>
        <v/>
      </c>
      <c r="B63" s="57"/>
      <c r="C63" s="57"/>
      <c r="D63" s="57"/>
      <c r="E63" s="57"/>
      <c r="F63" s="57"/>
      <c r="G63" s="57"/>
      <c r="H63" s="57"/>
      <c r="I63" s="57"/>
      <c r="J63" s="57"/>
      <c r="K63" s="57"/>
      <c r="L63" s="57"/>
      <c r="M63" s="57"/>
      <c r="N63" s="60"/>
      <c r="O63" s="57"/>
      <c r="P63" s="57"/>
      <c r="Q63" s="60"/>
      <c r="R63" s="57"/>
      <c r="S63" s="57"/>
      <c r="T63" s="57"/>
      <c r="U63" s="57"/>
      <c r="V63" s="57"/>
      <c r="W63" s="57"/>
      <c r="X63" s="57"/>
      <c r="Y63" s="57"/>
      <c r="Z63" s="57"/>
      <c r="AA63" s="57"/>
      <c r="AB63" s="57"/>
      <c r="AC63" s="57"/>
      <c r="AD63" s="57"/>
      <c r="AE63" s="57"/>
      <c r="AF63" s="57"/>
      <c r="AG63" s="57"/>
      <c r="AH63" s="57"/>
      <c r="AI63" s="57"/>
      <c r="AJ63" s="57"/>
      <c r="AK63" s="57"/>
      <c r="AL63" s="57"/>
      <c r="AM63" s="57"/>
      <c r="AN63" s="57"/>
      <c r="AO63" s="57"/>
      <c r="AP63" s="57"/>
      <c r="AQ63" s="57"/>
      <c r="AR63" s="57"/>
      <c r="AS63" s="57"/>
      <c r="AT63" s="57"/>
    </row>
    <row r="64" spans="1:46" x14ac:dyDescent="0.25">
      <c r="A64" s="70" t="str">
        <f t="shared" si="0"/>
        <v/>
      </c>
      <c r="B64" s="57"/>
      <c r="C64" s="57"/>
      <c r="D64" s="57"/>
      <c r="E64" s="57"/>
      <c r="F64" s="57"/>
      <c r="G64" s="57"/>
      <c r="H64" s="57"/>
      <c r="I64" s="57"/>
      <c r="J64" s="57"/>
      <c r="K64" s="57"/>
      <c r="L64" s="57"/>
      <c r="M64" s="57"/>
      <c r="N64" s="60"/>
      <c r="O64" s="57"/>
      <c r="P64" s="57"/>
      <c r="Q64" s="60"/>
      <c r="R64" s="57"/>
      <c r="S64" s="57"/>
      <c r="T64" s="57"/>
      <c r="U64" s="57"/>
      <c r="V64" s="57"/>
      <c r="W64" s="57"/>
      <c r="X64" s="57"/>
      <c r="Y64" s="57"/>
      <c r="Z64" s="57"/>
      <c r="AA64" s="57"/>
      <c r="AB64" s="57"/>
      <c r="AC64" s="57"/>
      <c r="AD64" s="57"/>
      <c r="AE64" s="57"/>
      <c r="AF64" s="57"/>
      <c r="AG64" s="57"/>
      <c r="AH64" s="57"/>
      <c r="AI64" s="57"/>
      <c r="AJ64" s="57"/>
      <c r="AK64" s="57"/>
      <c r="AL64" s="57"/>
      <c r="AM64" s="57"/>
      <c r="AN64" s="57"/>
      <c r="AO64" s="57"/>
      <c r="AP64" s="57"/>
      <c r="AQ64" s="57"/>
      <c r="AR64" s="57"/>
      <c r="AS64" s="57"/>
      <c r="AT64" s="57"/>
    </row>
    <row r="65" spans="1:46" x14ac:dyDescent="0.25">
      <c r="A65" s="70" t="str">
        <f t="shared" si="0"/>
        <v/>
      </c>
      <c r="B65" s="57"/>
      <c r="C65" s="57"/>
      <c r="D65" s="57"/>
      <c r="E65" s="57"/>
      <c r="F65" s="57"/>
      <c r="G65" s="57"/>
      <c r="H65" s="57"/>
      <c r="I65" s="57"/>
      <c r="J65" s="57"/>
      <c r="K65" s="57"/>
      <c r="L65" s="57"/>
      <c r="M65" s="57"/>
      <c r="N65" s="60"/>
      <c r="O65" s="57"/>
      <c r="P65" s="57"/>
      <c r="Q65" s="60"/>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row>
    <row r="66" spans="1:46" x14ac:dyDescent="0.25">
      <c r="A66" s="70" t="str">
        <f t="shared" si="0"/>
        <v/>
      </c>
      <c r="B66" s="57"/>
      <c r="C66" s="57"/>
      <c r="D66" s="57"/>
      <c r="E66" s="57"/>
      <c r="F66" s="57"/>
      <c r="G66" s="57"/>
      <c r="H66" s="57"/>
      <c r="I66" s="57"/>
      <c r="J66" s="57"/>
      <c r="K66" s="57"/>
      <c r="L66" s="57"/>
      <c r="M66" s="57"/>
      <c r="N66" s="60"/>
      <c r="O66" s="57"/>
      <c r="P66" s="57"/>
      <c r="Q66" s="60"/>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row>
    <row r="67" spans="1:46" x14ac:dyDescent="0.25">
      <c r="A67" s="70" t="str">
        <f t="shared" si="0"/>
        <v/>
      </c>
      <c r="B67" s="57"/>
      <c r="C67" s="57"/>
      <c r="D67" s="57"/>
      <c r="E67" s="57"/>
      <c r="F67" s="57"/>
      <c r="G67" s="57"/>
      <c r="H67" s="57"/>
      <c r="I67" s="57"/>
      <c r="J67" s="57"/>
      <c r="K67" s="57"/>
      <c r="L67" s="57"/>
      <c r="M67" s="57"/>
      <c r="N67" s="60"/>
      <c r="O67" s="57"/>
      <c r="P67" s="57"/>
      <c r="Q67" s="60"/>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row>
    <row r="68" spans="1:46" x14ac:dyDescent="0.25">
      <c r="A68" s="70" t="str">
        <f t="shared" si="0"/>
        <v/>
      </c>
      <c r="B68" s="57"/>
      <c r="C68" s="57"/>
      <c r="D68" s="57"/>
      <c r="E68" s="57"/>
      <c r="F68" s="57"/>
      <c r="G68" s="57"/>
      <c r="H68" s="57"/>
      <c r="I68" s="57"/>
      <c r="J68" s="57"/>
      <c r="K68" s="57"/>
      <c r="L68" s="57"/>
      <c r="M68" s="57"/>
      <c r="N68" s="60"/>
      <c r="O68" s="57"/>
      <c r="P68" s="57"/>
      <c r="Q68" s="60"/>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row>
    <row r="69" spans="1:46" x14ac:dyDescent="0.25">
      <c r="A69" s="70" t="str">
        <f t="shared" ref="A69:A132" si="1">IF(B69&lt;&gt;"",A68+1,"")</f>
        <v/>
      </c>
      <c r="B69" s="57"/>
      <c r="C69" s="57"/>
      <c r="D69" s="57"/>
      <c r="E69" s="57"/>
      <c r="F69" s="57"/>
      <c r="G69" s="57"/>
      <c r="H69" s="57"/>
      <c r="I69" s="57"/>
      <c r="J69" s="57"/>
      <c r="K69" s="57"/>
      <c r="L69" s="57"/>
      <c r="M69" s="57"/>
      <c r="N69" s="60"/>
      <c r="O69" s="57"/>
      <c r="P69" s="57"/>
      <c r="Q69" s="60"/>
      <c r="R69" s="57"/>
      <c r="S69" s="57"/>
      <c r="T69" s="57"/>
      <c r="U69" s="57"/>
      <c r="V69" s="57"/>
      <c r="W69" s="57"/>
      <c r="X69" s="57"/>
      <c r="Y69" s="57"/>
      <c r="Z69" s="57"/>
      <c r="AA69" s="57"/>
      <c r="AB69" s="57"/>
      <c r="AC69" s="57"/>
      <c r="AD69" s="57"/>
      <c r="AE69" s="57"/>
      <c r="AF69" s="57"/>
      <c r="AG69" s="57"/>
      <c r="AH69" s="57"/>
      <c r="AI69" s="57"/>
      <c r="AJ69" s="57"/>
      <c r="AK69" s="57"/>
      <c r="AL69" s="57"/>
      <c r="AM69" s="57"/>
      <c r="AN69" s="57"/>
      <c r="AO69" s="57"/>
      <c r="AP69" s="57"/>
      <c r="AQ69" s="57"/>
      <c r="AR69" s="57"/>
      <c r="AS69" s="57"/>
      <c r="AT69" s="57"/>
    </row>
    <row r="70" spans="1:46" x14ac:dyDescent="0.25">
      <c r="A70" s="70" t="str">
        <f t="shared" si="1"/>
        <v/>
      </c>
      <c r="B70" s="57"/>
      <c r="C70" s="57"/>
      <c r="D70" s="57"/>
      <c r="E70" s="57"/>
      <c r="F70" s="57"/>
      <c r="G70" s="57"/>
      <c r="H70" s="57"/>
      <c r="I70" s="57"/>
      <c r="J70" s="57"/>
      <c r="K70" s="57"/>
      <c r="L70" s="57"/>
      <c r="M70" s="57"/>
      <c r="N70" s="60"/>
      <c r="O70" s="57"/>
      <c r="P70" s="57"/>
      <c r="Q70" s="60"/>
      <c r="R70" s="57"/>
      <c r="S70" s="57"/>
      <c r="T70" s="57"/>
      <c r="U70" s="57"/>
      <c r="V70" s="57"/>
      <c r="W70" s="57"/>
      <c r="X70" s="57"/>
      <c r="Y70" s="57"/>
      <c r="Z70" s="57"/>
      <c r="AA70" s="57"/>
      <c r="AB70" s="57"/>
      <c r="AC70" s="57"/>
      <c r="AD70" s="57"/>
      <c r="AE70" s="57"/>
      <c r="AF70" s="57"/>
      <c r="AG70" s="57"/>
      <c r="AH70" s="57"/>
      <c r="AI70" s="57"/>
      <c r="AJ70" s="57"/>
      <c r="AK70" s="57"/>
      <c r="AL70" s="57"/>
      <c r="AM70" s="57"/>
      <c r="AN70" s="57"/>
      <c r="AO70" s="57"/>
      <c r="AP70" s="57"/>
      <c r="AQ70" s="57"/>
      <c r="AR70" s="57"/>
      <c r="AS70" s="57"/>
      <c r="AT70" s="57"/>
    </row>
    <row r="71" spans="1:46" x14ac:dyDescent="0.25">
      <c r="A71" s="70" t="str">
        <f t="shared" si="1"/>
        <v/>
      </c>
      <c r="B71" s="57"/>
      <c r="C71" s="57"/>
      <c r="D71" s="57"/>
      <c r="E71" s="57"/>
      <c r="F71" s="57"/>
      <c r="G71" s="57"/>
      <c r="H71" s="57"/>
      <c r="I71" s="57"/>
      <c r="J71" s="57"/>
      <c r="K71" s="57"/>
      <c r="L71" s="57"/>
      <c r="M71" s="57"/>
      <c r="N71" s="60"/>
      <c r="O71" s="57"/>
      <c r="P71" s="57"/>
      <c r="Q71" s="60"/>
      <c r="R71" s="57"/>
      <c r="S71" s="57"/>
      <c r="T71" s="57"/>
      <c r="U71" s="57"/>
      <c r="V71" s="57"/>
      <c r="W71" s="57"/>
      <c r="X71" s="57"/>
      <c r="Y71" s="57"/>
      <c r="Z71" s="57"/>
      <c r="AA71" s="57"/>
      <c r="AB71" s="57"/>
      <c r="AC71" s="57"/>
      <c r="AD71" s="57"/>
      <c r="AE71" s="57"/>
      <c r="AF71" s="57"/>
      <c r="AG71" s="57"/>
      <c r="AH71" s="57"/>
      <c r="AI71" s="57"/>
      <c r="AJ71" s="57"/>
      <c r="AK71" s="57"/>
      <c r="AL71" s="57"/>
      <c r="AM71" s="57"/>
      <c r="AN71" s="57"/>
      <c r="AO71" s="57"/>
      <c r="AP71" s="57"/>
      <c r="AQ71" s="57"/>
      <c r="AR71" s="57"/>
      <c r="AS71" s="57"/>
      <c r="AT71" s="57"/>
    </row>
    <row r="72" spans="1:46" x14ac:dyDescent="0.25">
      <c r="A72" s="70" t="str">
        <f t="shared" si="1"/>
        <v/>
      </c>
      <c r="B72" s="57"/>
      <c r="C72" s="57"/>
      <c r="D72" s="57"/>
      <c r="E72" s="57"/>
      <c r="F72" s="57"/>
      <c r="G72" s="57"/>
      <c r="H72" s="57"/>
      <c r="I72" s="57"/>
      <c r="J72" s="57"/>
      <c r="K72" s="57"/>
      <c r="L72" s="57"/>
      <c r="M72" s="57"/>
      <c r="N72" s="60"/>
      <c r="O72" s="57"/>
      <c r="P72" s="57"/>
      <c r="Q72" s="60"/>
      <c r="R72" s="57"/>
      <c r="S72" s="57"/>
      <c r="T72" s="57"/>
      <c r="U72" s="57"/>
      <c r="V72" s="57"/>
      <c r="W72" s="57"/>
      <c r="X72" s="57"/>
      <c r="Y72" s="57"/>
      <c r="Z72" s="57"/>
      <c r="AA72" s="57"/>
      <c r="AB72" s="57"/>
      <c r="AC72" s="57"/>
      <c r="AD72" s="57"/>
      <c r="AE72" s="57"/>
      <c r="AF72" s="57"/>
      <c r="AG72" s="57"/>
      <c r="AH72" s="57"/>
      <c r="AI72" s="57"/>
      <c r="AJ72" s="57"/>
      <c r="AK72" s="57"/>
      <c r="AL72" s="57"/>
      <c r="AM72" s="57"/>
      <c r="AN72" s="57"/>
      <c r="AO72" s="57"/>
      <c r="AP72" s="57"/>
      <c r="AQ72" s="57"/>
      <c r="AR72" s="57"/>
      <c r="AS72" s="57"/>
      <c r="AT72" s="57"/>
    </row>
    <row r="73" spans="1:46" x14ac:dyDescent="0.25">
      <c r="A73" s="70" t="str">
        <f t="shared" si="1"/>
        <v/>
      </c>
      <c r="B73" s="57"/>
      <c r="C73" s="57"/>
      <c r="D73" s="57"/>
      <c r="E73" s="57"/>
      <c r="F73" s="57"/>
      <c r="G73" s="57"/>
      <c r="H73" s="57"/>
      <c r="I73" s="57"/>
      <c r="J73" s="57"/>
      <c r="K73" s="57"/>
      <c r="L73" s="57"/>
      <c r="M73" s="57"/>
      <c r="N73" s="60"/>
      <c r="O73" s="57"/>
      <c r="P73" s="57"/>
      <c r="Q73" s="60"/>
      <c r="R73" s="57"/>
      <c r="S73" s="57"/>
      <c r="T73" s="57"/>
      <c r="U73" s="57"/>
      <c r="V73" s="57"/>
      <c r="W73" s="57"/>
      <c r="X73" s="57"/>
      <c r="Y73" s="57"/>
      <c r="Z73" s="57"/>
      <c r="AA73" s="57"/>
      <c r="AB73" s="57"/>
      <c r="AC73" s="57"/>
      <c r="AD73" s="57"/>
      <c r="AE73" s="57"/>
      <c r="AF73" s="57"/>
      <c r="AG73" s="57"/>
      <c r="AH73" s="57"/>
      <c r="AI73" s="57"/>
      <c r="AJ73" s="57"/>
      <c r="AK73" s="57"/>
      <c r="AL73" s="57"/>
      <c r="AM73" s="57"/>
      <c r="AN73" s="57"/>
      <c r="AO73" s="57"/>
      <c r="AP73" s="57"/>
      <c r="AQ73" s="57"/>
      <c r="AR73" s="57"/>
      <c r="AS73" s="57"/>
      <c r="AT73" s="57"/>
    </row>
    <row r="74" spans="1:46" x14ac:dyDescent="0.25">
      <c r="A74" s="70" t="str">
        <f t="shared" si="1"/>
        <v/>
      </c>
      <c r="B74" s="57"/>
      <c r="C74" s="57"/>
      <c r="D74" s="57"/>
      <c r="E74" s="57"/>
      <c r="F74" s="57"/>
      <c r="G74" s="57"/>
      <c r="H74" s="57"/>
      <c r="I74" s="57"/>
      <c r="J74" s="57"/>
      <c r="K74" s="57"/>
      <c r="L74" s="57"/>
      <c r="M74" s="57"/>
      <c r="N74" s="60"/>
      <c r="O74" s="57"/>
      <c r="P74" s="57"/>
      <c r="Q74" s="60"/>
      <c r="R74" s="57"/>
      <c r="S74" s="57"/>
      <c r="T74" s="57"/>
      <c r="U74" s="57"/>
      <c r="V74" s="57"/>
      <c r="W74" s="57"/>
      <c r="X74" s="57"/>
      <c r="Y74" s="57"/>
      <c r="Z74" s="57"/>
      <c r="AA74" s="57"/>
      <c r="AB74" s="57"/>
      <c r="AC74" s="57"/>
      <c r="AD74" s="57"/>
      <c r="AE74" s="57"/>
      <c r="AF74" s="57"/>
      <c r="AG74" s="57"/>
      <c r="AH74" s="57"/>
      <c r="AI74" s="57"/>
      <c r="AJ74" s="57"/>
      <c r="AK74" s="57"/>
      <c r="AL74" s="57"/>
      <c r="AM74" s="57"/>
      <c r="AN74" s="57"/>
      <c r="AO74" s="57"/>
      <c r="AP74" s="57"/>
      <c r="AQ74" s="57"/>
      <c r="AR74" s="57"/>
      <c r="AS74" s="57"/>
      <c r="AT74" s="57"/>
    </row>
    <row r="75" spans="1:46" x14ac:dyDescent="0.25">
      <c r="A75" s="70" t="str">
        <f t="shared" si="1"/>
        <v/>
      </c>
      <c r="B75" s="57"/>
      <c r="C75" s="57"/>
      <c r="D75" s="57"/>
      <c r="E75" s="57"/>
      <c r="F75" s="57"/>
      <c r="G75" s="57"/>
      <c r="H75" s="57"/>
      <c r="I75" s="57"/>
      <c r="J75" s="57"/>
      <c r="K75" s="57"/>
      <c r="L75" s="57"/>
      <c r="M75" s="57"/>
      <c r="N75" s="60"/>
      <c r="O75" s="57"/>
      <c r="P75" s="57"/>
      <c r="Q75" s="60"/>
      <c r="R75" s="57"/>
      <c r="S75" s="57"/>
      <c r="T75" s="57"/>
      <c r="U75" s="57"/>
      <c r="V75" s="57"/>
      <c r="W75" s="57"/>
      <c r="X75" s="57"/>
      <c r="Y75" s="57"/>
      <c r="Z75" s="57"/>
      <c r="AA75" s="57"/>
      <c r="AB75" s="57"/>
      <c r="AC75" s="57"/>
      <c r="AD75" s="57"/>
      <c r="AE75" s="57"/>
      <c r="AF75" s="57"/>
      <c r="AG75" s="57"/>
      <c r="AH75" s="57"/>
      <c r="AI75" s="57"/>
      <c r="AJ75" s="57"/>
      <c r="AK75" s="57"/>
      <c r="AL75" s="57"/>
      <c r="AM75" s="57"/>
      <c r="AN75" s="57"/>
      <c r="AO75" s="57"/>
      <c r="AP75" s="57"/>
      <c r="AQ75" s="57"/>
      <c r="AR75" s="57"/>
      <c r="AS75" s="57"/>
      <c r="AT75" s="57"/>
    </row>
    <row r="76" spans="1:46" x14ac:dyDescent="0.25">
      <c r="A76" s="70" t="str">
        <f t="shared" si="1"/>
        <v/>
      </c>
      <c r="B76" s="57"/>
      <c r="C76" s="57"/>
      <c r="D76" s="57"/>
      <c r="E76" s="57"/>
      <c r="F76" s="57"/>
      <c r="G76" s="57"/>
      <c r="H76" s="57"/>
      <c r="I76" s="57"/>
      <c r="J76" s="57"/>
      <c r="K76" s="57"/>
      <c r="L76" s="57"/>
      <c r="M76" s="57"/>
      <c r="N76" s="60"/>
      <c r="O76" s="57"/>
      <c r="P76" s="57"/>
      <c r="Q76" s="60"/>
      <c r="R76" s="57"/>
      <c r="S76" s="57"/>
      <c r="T76" s="57"/>
      <c r="U76" s="57"/>
      <c r="V76" s="57"/>
      <c r="W76" s="57"/>
      <c r="X76" s="57"/>
      <c r="Y76" s="57"/>
      <c r="Z76" s="57"/>
      <c r="AA76" s="57"/>
      <c r="AB76" s="57"/>
      <c r="AC76" s="57"/>
      <c r="AD76" s="57"/>
      <c r="AE76" s="57"/>
      <c r="AF76" s="57"/>
      <c r="AG76" s="57"/>
      <c r="AH76" s="57"/>
      <c r="AI76" s="57"/>
      <c r="AJ76" s="57"/>
      <c r="AK76" s="57"/>
      <c r="AL76" s="57"/>
      <c r="AM76" s="57"/>
      <c r="AN76" s="57"/>
      <c r="AO76" s="57"/>
      <c r="AP76" s="57"/>
      <c r="AQ76" s="57"/>
      <c r="AR76" s="57"/>
      <c r="AS76" s="57"/>
      <c r="AT76" s="57"/>
    </row>
    <row r="77" spans="1:46" x14ac:dyDescent="0.25">
      <c r="A77" s="70" t="str">
        <f t="shared" si="1"/>
        <v/>
      </c>
      <c r="B77" s="57"/>
      <c r="C77" s="57"/>
      <c r="D77" s="57"/>
      <c r="E77" s="57"/>
      <c r="F77" s="57"/>
      <c r="G77" s="57"/>
      <c r="H77" s="57"/>
      <c r="I77" s="57"/>
      <c r="J77" s="57"/>
      <c r="K77" s="57"/>
      <c r="L77" s="57"/>
      <c r="M77" s="57"/>
      <c r="N77" s="60"/>
      <c r="O77" s="57"/>
      <c r="P77" s="57"/>
      <c r="Q77" s="60"/>
      <c r="R77" s="57"/>
      <c r="S77" s="57"/>
      <c r="T77" s="57"/>
      <c r="U77" s="57"/>
      <c r="V77" s="57"/>
      <c r="W77" s="57"/>
      <c r="X77" s="57"/>
      <c r="Y77" s="57"/>
      <c r="Z77" s="57"/>
      <c r="AA77" s="57"/>
      <c r="AB77" s="57"/>
      <c r="AC77" s="57"/>
      <c r="AD77" s="57"/>
      <c r="AE77" s="57"/>
      <c r="AF77" s="57"/>
      <c r="AG77" s="57"/>
      <c r="AH77" s="57"/>
      <c r="AI77" s="57"/>
      <c r="AJ77" s="57"/>
      <c r="AK77" s="57"/>
      <c r="AL77" s="57"/>
      <c r="AM77" s="57"/>
      <c r="AN77" s="57"/>
      <c r="AO77" s="57"/>
      <c r="AP77" s="57"/>
      <c r="AQ77" s="57"/>
      <c r="AR77" s="57"/>
      <c r="AS77" s="57"/>
      <c r="AT77" s="57"/>
    </row>
    <row r="78" spans="1:46" x14ac:dyDescent="0.25">
      <c r="A78" s="70" t="str">
        <f t="shared" si="1"/>
        <v/>
      </c>
      <c r="B78" s="57"/>
      <c r="C78" s="57"/>
      <c r="D78" s="57"/>
      <c r="E78" s="57"/>
      <c r="F78" s="57"/>
      <c r="G78" s="57"/>
      <c r="H78" s="57"/>
      <c r="I78" s="57"/>
      <c r="J78" s="57"/>
      <c r="K78" s="57"/>
      <c r="L78" s="57"/>
      <c r="M78" s="57"/>
      <c r="N78" s="60"/>
      <c r="O78" s="57"/>
      <c r="P78" s="57"/>
      <c r="Q78" s="60"/>
      <c r="R78" s="57"/>
      <c r="S78" s="57"/>
      <c r="T78" s="57"/>
      <c r="U78" s="57"/>
      <c r="V78" s="57"/>
      <c r="W78" s="57"/>
      <c r="X78" s="57"/>
      <c r="Y78" s="57"/>
      <c r="Z78" s="57"/>
      <c r="AA78" s="57"/>
      <c r="AB78" s="57"/>
      <c r="AC78" s="57"/>
      <c r="AD78" s="57"/>
      <c r="AE78" s="57"/>
      <c r="AF78" s="57"/>
      <c r="AG78" s="57"/>
      <c r="AH78" s="57"/>
      <c r="AI78" s="57"/>
      <c r="AJ78" s="57"/>
      <c r="AK78" s="57"/>
      <c r="AL78" s="57"/>
      <c r="AM78" s="57"/>
      <c r="AN78" s="57"/>
      <c r="AO78" s="57"/>
      <c r="AP78" s="57"/>
      <c r="AQ78" s="57"/>
      <c r="AR78" s="57"/>
      <c r="AS78" s="57"/>
      <c r="AT78" s="57"/>
    </row>
    <row r="79" spans="1:46" x14ac:dyDescent="0.25">
      <c r="A79" s="70" t="str">
        <f t="shared" si="1"/>
        <v/>
      </c>
      <c r="B79" s="57"/>
      <c r="C79" s="57"/>
      <c r="D79" s="57"/>
      <c r="E79" s="57"/>
      <c r="F79" s="57"/>
      <c r="G79" s="57"/>
      <c r="H79" s="57"/>
      <c r="I79" s="57"/>
      <c r="J79" s="57"/>
      <c r="K79" s="57"/>
      <c r="L79" s="57"/>
      <c r="M79" s="57"/>
      <c r="N79" s="60"/>
      <c r="O79" s="57"/>
      <c r="P79" s="57"/>
      <c r="Q79" s="60"/>
      <c r="R79" s="57"/>
      <c r="S79" s="57"/>
      <c r="T79" s="57"/>
      <c r="U79" s="57"/>
      <c r="V79" s="57"/>
      <c r="W79" s="57"/>
      <c r="X79" s="57"/>
      <c r="Y79" s="57"/>
      <c r="Z79" s="57"/>
      <c r="AA79" s="57"/>
      <c r="AB79" s="57"/>
      <c r="AC79" s="57"/>
      <c r="AD79" s="57"/>
      <c r="AE79" s="57"/>
      <c r="AF79" s="57"/>
      <c r="AG79" s="57"/>
      <c r="AH79" s="57"/>
      <c r="AI79" s="57"/>
      <c r="AJ79" s="57"/>
      <c r="AK79" s="57"/>
      <c r="AL79" s="57"/>
      <c r="AM79" s="57"/>
      <c r="AN79" s="57"/>
      <c r="AO79" s="57"/>
      <c r="AP79" s="57"/>
      <c r="AQ79" s="57"/>
      <c r="AR79" s="57"/>
      <c r="AS79" s="57"/>
      <c r="AT79" s="57"/>
    </row>
    <row r="80" spans="1:46" x14ac:dyDescent="0.25">
      <c r="A80" s="70" t="str">
        <f t="shared" si="1"/>
        <v/>
      </c>
      <c r="B80" s="57"/>
      <c r="C80" s="57"/>
      <c r="D80" s="57"/>
      <c r="E80" s="57"/>
      <c r="F80" s="57"/>
      <c r="G80" s="57"/>
      <c r="H80" s="57"/>
      <c r="I80" s="57"/>
      <c r="J80" s="57"/>
      <c r="K80" s="57"/>
      <c r="L80" s="57"/>
      <c r="M80" s="57"/>
      <c r="N80" s="60"/>
      <c r="O80" s="57"/>
      <c r="P80" s="57"/>
      <c r="Q80" s="60"/>
      <c r="R80" s="57"/>
      <c r="S80" s="57"/>
      <c r="T80" s="57"/>
      <c r="U80" s="57"/>
      <c r="V80" s="57"/>
      <c r="W80" s="57"/>
      <c r="X80" s="57"/>
      <c r="Y80" s="57"/>
      <c r="Z80" s="57"/>
      <c r="AA80" s="57"/>
      <c r="AB80" s="57"/>
      <c r="AC80" s="57"/>
      <c r="AD80" s="57"/>
      <c r="AE80" s="57"/>
      <c r="AF80" s="57"/>
      <c r="AG80" s="57"/>
      <c r="AH80" s="57"/>
      <c r="AI80" s="57"/>
      <c r="AJ80" s="57"/>
      <c r="AK80" s="57"/>
      <c r="AL80" s="57"/>
      <c r="AM80" s="57"/>
      <c r="AN80" s="57"/>
      <c r="AO80" s="57"/>
      <c r="AP80" s="57"/>
      <c r="AQ80" s="57"/>
      <c r="AR80" s="57"/>
      <c r="AS80" s="57"/>
      <c r="AT80" s="57"/>
    </row>
    <row r="81" spans="1:46" x14ac:dyDescent="0.25">
      <c r="A81" s="70" t="str">
        <f t="shared" si="1"/>
        <v/>
      </c>
      <c r="B81" s="57"/>
      <c r="C81" s="57"/>
      <c r="D81" s="57"/>
      <c r="E81" s="57"/>
      <c r="F81" s="57"/>
      <c r="G81" s="57"/>
      <c r="H81" s="57"/>
      <c r="I81" s="57"/>
      <c r="J81" s="57"/>
      <c r="K81" s="57"/>
      <c r="L81" s="57"/>
      <c r="M81" s="57"/>
      <c r="N81" s="60"/>
      <c r="O81" s="57"/>
      <c r="P81" s="57"/>
      <c r="Q81" s="60"/>
      <c r="R81" s="57"/>
      <c r="S81" s="57"/>
      <c r="T81" s="57"/>
      <c r="U81" s="57"/>
      <c r="V81" s="57"/>
      <c r="W81" s="57"/>
      <c r="X81" s="57"/>
      <c r="Y81" s="57"/>
      <c r="Z81" s="57"/>
      <c r="AA81" s="57"/>
      <c r="AB81" s="57"/>
      <c r="AC81" s="57"/>
      <c r="AD81" s="57"/>
      <c r="AE81" s="57"/>
      <c r="AF81" s="57"/>
      <c r="AG81" s="57"/>
      <c r="AH81" s="57"/>
      <c r="AI81" s="57"/>
      <c r="AJ81" s="57"/>
      <c r="AK81" s="57"/>
      <c r="AL81" s="57"/>
      <c r="AM81" s="57"/>
      <c r="AN81" s="57"/>
      <c r="AO81" s="57"/>
      <c r="AP81" s="57"/>
      <c r="AQ81" s="57"/>
      <c r="AR81" s="57"/>
      <c r="AS81" s="57"/>
      <c r="AT81" s="57"/>
    </row>
    <row r="82" spans="1:46" x14ac:dyDescent="0.25">
      <c r="A82" s="70" t="str">
        <f t="shared" si="1"/>
        <v/>
      </c>
      <c r="B82" s="57"/>
      <c r="C82" s="57"/>
      <c r="D82" s="57"/>
      <c r="E82" s="57"/>
      <c r="F82" s="57"/>
      <c r="G82" s="57"/>
      <c r="H82" s="57"/>
      <c r="I82" s="57"/>
      <c r="J82" s="57"/>
      <c r="K82" s="57"/>
      <c r="L82" s="57"/>
      <c r="M82" s="57"/>
      <c r="N82" s="57"/>
      <c r="O82" s="57"/>
      <c r="P82" s="57"/>
      <c r="Q82" s="57"/>
      <c r="R82" s="57"/>
      <c r="S82" s="57"/>
      <c r="T82" s="57"/>
      <c r="U82" s="57"/>
      <c r="V82" s="57"/>
      <c r="W82" s="57"/>
      <c r="X82" s="57"/>
      <c r="Y82" s="57"/>
      <c r="Z82" s="57"/>
      <c r="AA82" s="57"/>
      <c r="AB82" s="57"/>
      <c r="AC82" s="57"/>
      <c r="AD82" s="57"/>
      <c r="AE82" s="57"/>
      <c r="AF82" s="57"/>
      <c r="AG82" s="57"/>
      <c r="AH82" s="57"/>
      <c r="AI82" s="57"/>
      <c r="AJ82" s="57"/>
      <c r="AK82" s="57"/>
      <c r="AL82" s="57"/>
      <c r="AM82" s="57"/>
      <c r="AN82" s="57"/>
      <c r="AO82" s="57"/>
      <c r="AP82" s="57"/>
      <c r="AQ82" s="57"/>
      <c r="AR82" s="57"/>
      <c r="AS82" s="57"/>
      <c r="AT82" s="57"/>
    </row>
    <row r="83" spans="1:46" x14ac:dyDescent="0.25">
      <c r="A83" s="70" t="str">
        <f t="shared" si="1"/>
        <v/>
      </c>
      <c r="B83" s="57"/>
      <c r="C83" s="57"/>
      <c r="D83" s="57"/>
      <c r="E83" s="57"/>
      <c r="F83" s="57"/>
      <c r="G83" s="57"/>
      <c r="H83" s="57"/>
      <c r="I83" s="57"/>
      <c r="J83" s="57"/>
      <c r="K83" s="57"/>
      <c r="L83" s="57"/>
      <c r="M83" s="57"/>
      <c r="N83" s="57"/>
      <c r="O83" s="57"/>
      <c r="P83" s="57"/>
      <c r="Q83" s="57"/>
      <c r="R83" s="57"/>
      <c r="S83" s="57"/>
      <c r="T83" s="57"/>
      <c r="U83" s="57"/>
      <c r="V83" s="57"/>
      <c r="W83" s="57"/>
      <c r="X83" s="57"/>
      <c r="Y83" s="57"/>
      <c r="Z83" s="57"/>
      <c r="AA83" s="57"/>
      <c r="AB83" s="57"/>
      <c r="AC83" s="57"/>
      <c r="AD83" s="57"/>
      <c r="AE83" s="57"/>
      <c r="AF83" s="57"/>
      <c r="AG83" s="57"/>
      <c r="AH83" s="57"/>
      <c r="AI83" s="57"/>
      <c r="AJ83" s="57"/>
      <c r="AK83" s="57"/>
      <c r="AL83" s="57"/>
      <c r="AM83" s="57"/>
      <c r="AN83" s="57"/>
      <c r="AO83" s="57"/>
      <c r="AP83" s="57"/>
      <c r="AQ83" s="57"/>
      <c r="AR83" s="57"/>
      <c r="AS83" s="57"/>
      <c r="AT83" s="57"/>
    </row>
    <row r="84" spans="1:46" x14ac:dyDescent="0.25">
      <c r="A84" s="70" t="str">
        <f t="shared" si="1"/>
        <v/>
      </c>
      <c r="B84" s="57"/>
      <c r="C84" s="57"/>
      <c r="D84" s="57"/>
      <c r="E84" s="57"/>
      <c r="F84" s="57"/>
      <c r="G84" s="57"/>
      <c r="H84" s="57"/>
      <c r="I84" s="57"/>
      <c r="J84" s="57"/>
      <c r="K84" s="57"/>
      <c r="L84" s="57"/>
      <c r="M84" s="57"/>
      <c r="N84" s="57"/>
      <c r="O84" s="57"/>
      <c r="P84" s="57"/>
      <c r="Q84" s="57"/>
      <c r="R84" s="57"/>
      <c r="S84" s="57"/>
      <c r="T84" s="57"/>
      <c r="U84" s="57"/>
      <c r="V84" s="57"/>
      <c r="W84" s="57"/>
      <c r="X84" s="57"/>
      <c r="Y84" s="57"/>
      <c r="Z84" s="57"/>
      <c r="AA84" s="57"/>
      <c r="AB84" s="57"/>
      <c r="AC84" s="57"/>
      <c r="AD84" s="57"/>
      <c r="AE84" s="57"/>
      <c r="AF84" s="57"/>
      <c r="AG84" s="57"/>
      <c r="AH84" s="57"/>
      <c r="AI84" s="57"/>
      <c r="AJ84" s="57"/>
      <c r="AK84" s="57"/>
      <c r="AL84" s="57"/>
      <c r="AM84" s="57"/>
      <c r="AN84" s="57"/>
      <c r="AO84" s="57"/>
      <c r="AP84" s="57"/>
      <c r="AQ84" s="57"/>
      <c r="AR84" s="57"/>
      <c r="AS84" s="57"/>
      <c r="AT84" s="57"/>
    </row>
    <row r="85" spans="1:46" x14ac:dyDescent="0.25">
      <c r="A85" s="70" t="str">
        <f t="shared" si="1"/>
        <v/>
      </c>
      <c r="B85" s="57"/>
      <c r="C85" s="57"/>
      <c r="D85" s="57"/>
      <c r="E85" s="57"/>
      <c r="F85" s="57"/>
      <c r="G85" s="57"/>
      <c r="H85" s="57"/>
      <c r="I85" s="57"/>
      <c r="J85" s="57"/>
      <c r="K85" s="57"/>
      <c r="L85" s="57"/>
      <c r="M85" s="57"/>
      <c r="N85" s="57"/>
      <c r="O85" s="57"/>
      <c r="P85" s="57"/>
      <c r="Q85" s="57"/>
      <c r="R85" s="57"/>
      <c r="S85" s="57"/>
      <c r="T85" s="57"/>
      <c r="U85" s="57"/>
      <c r="V85" s="57"/>
      <c r="W85" s="57"/>
      <c r="X85" s="57"/>
      <c r="Y85" s="57"/>
      <c r="Z85" s="57"/>
      <c r="AA85" s="57"/>
      <c r="AB85" s="57"/>
      <c r="AC85" s="57"/>
      <c r="AD85" s="57"/>
      <c r="AE85" s="57"/>
      <c r="AF85" s="57"/>
      <c r="AG85" s="57"/>
      <c r="AH85" s="57"/>
      <c r="AI85" s="57"/>
      <c r="AJ85" s="57"/>
      <c r="AK85" s="57"/>
      <c r="AL85" s="57"/>
      <c r="AM85" s="57"/>
      <c r="AN85" s="57"/>
      <c r="AO85" s="57"/>
      <c r="AP85" s="57"/>
      <c r="AQ85" s="57"/>
      <c r="AR85" s="57"/>
      <c r="AS85" s="57"/>
      <c r="AT85" s="57"/>
    </row>
    <row r="86" spans="1:46" x14ac:dyDescent="0.25">
      <c r="A86" s="70" t="str">
        <f t="shared" si="1"/>
        <v/>
      </c>
      <c r="B86" s="57"/>
      <c r="C86" s="57"/>
      <c r="D86" s="57"/>
      <c r="E86" s="57"/>
      <c r="F86" s="57"/>
      <c r="G86" s="57"/>
      <c r="H86" s="57"/>
      <c r="I86" s="57"/>
      <c r="J86" s="57"/>
      <c r="K86" s="57"/>
      <c r="L86" s="57"/>
      <c r="M86" s="57"/>
      <c r="N86" s="57"/>
      <c r="O86" s="57"/>
      <c r="P86" s="57"/>
      <c r="Q86" s="57"/>
      <c r="R86" s="57"/>
      <c r="S86" s="57"/>
      <c r="T86" s="57"/>
      <c r="U86" s="57"/>
      <c r="V86" s="57"/>
      <c r="W86" s="57"/>
      <c r="X86" s="57"/>
      <c r="Y86" s="57"/>
      <c r="Z86" s="57"/>
      <c r="AA86" s="57"/>
      <c r="AB86" s="57"/>
      <c r="AC86" s="57"/>
      <c r="AD86" s="57"/>
      <c r="AE86" s="57"/>
      <c r="AF86" s="57"/>
      <c r="AG86" s="57"/>
      <c r="AH86" s="57"/>
      <c r="AI86" s="57"/>
      <c r="AJ86" s="57"/>
      <c r="AK86" s="57"/>
      <c r="AL86" s="57"/>
      <c r="AM86" s="57"/>
      <c r="AN86" s="57"/>
      <c r="AO86" s="57"/>
      <c r="AP86" s="57"/>
      <c r="AQ86" s="57"/>
      <c r="AR86" s="57"/>
      <c r="AS86" s="57"/>
      <c r="AT86" s="57"/>
    </row>
    <row r="87" spans="1:46" x14ac:dyDescent="0.25">
      <c r="A87" s="70" t="str">
        <f t="shared" si="1"/>
        <v/>
      </c>
      <c r="B87" s="57"/>
      <c r="C87" s="57"/>
      <c r="D87" s="57"/>
      <c r="E87" s="57"/>
      <c r="F87" s="57"/>
      <c r="G87" s="57"/>
      <c r="H87" s="57"/>
      <c r="I87" s="57"/>
      <c r="J87" s="57"/>
      <c r="K87" s="57"/>
      <c r="L87" s="57"/>
      <c r="M87" s="57"/>
      <c r="N87" s="57"/>
      <c r="O87" s="57"/>
      <c r="P87" s="57"/>
      <c r="Q87" s="57"/>
      <c r="R87" s="57"/>
      <c r="S87" s="57"/>
      <c r="T87" s="57"/>
      <c r="U87" s="57"/>
      <c r="V87" s="57"/>
      <c r="W87" s="57"/>
      <c r="X87" s="57"/>
      <c r="Y87" s="57"/>
      <c r="Z87" s="57"/>
      <c r="AA87" s="57"/>
      <c r="AB87" s="57"/>
      <c r="AC87" s="57"/>
      <c r="AD87" s="57"/>
      <c r="AE87" s="57"/>
      <c r="AF87" s="57"/>
      <c r="AG87" s="57"/>
      <c r="AH87" s="57"/>
      <c r="AI87" s="57"/>
      <c r="AJ87" s="57"/>
      <c r="AK87" s="57"/>
      <c r="AL87" s="57"/>
      <c r="AM87" s="57"/>
      <c r="AN87" s="57"/>
      <c r="AO87" s="57"/>
      <c r="AP87" s="57"/>
      <c r="AQ87" s="57"/>
      <c r="AR87" s="57"/>
      <c r="AS87" s="57"/>
      <c r="AT87" s="57"/>
    </row>
    <row r="88" spans="1:46" x14ac:dyDescent="0.25">
      <c r="A88" s="70" t="str">
        <f t="shared" si="1"/>
        <v/>
      </c>
      <c r="B88" s="57"/>
      <c r="C88" s="57"/>
      <c r="D88" s="57"/>
      <c r="E88" s="57"/>
      <c r="F88" s="57"/>
      <c r="G88" s="57"/>
      <c r="H88" s="57"/>
      <c r="I88" s="57"/>
      <c r="J88" s="57"/>
      <c r="K88" s="57"/>
      <c r="L88" s="57"/>
      <c r="M88" s="57"/>
      <c r="N88" s="57"/>
      <c r="O88" s="57"/>
      <c r="P88" s="57"/>
      <c r="Q88" s="57"/>
      <c r="R88" s="57"/>
      <c r="S88" s="57"/>
      <c r="T88" s="57"/>
      <c r="U88" s="57"/>
      <c r="V88" s="57"/>
      <c r="W88" s="57"/>
      <c r="X88" s="57"/>
      <c r="Y88" s="57"/>
      <c r="Z88" s="57"/>
      <c r="AA88" s="57"/>
      <c r="AB88" s="57"/>
      <c r="AC88" s="57"/>
      <c r="AD88" s="57"/>
      <c r="AE88" s="57"/>
      <c r="AF88" s="57"/>
      <c r="AG88" s="57"/>
      <c r="AH88" s="57"/>
      <c r="AI88" s="57"/>
      <c r="AJ88" s="57"/>
      <c r="AK88" s="57"/>
      <c r="AL88" s="57"/>
      <c r="AM88" s="57"/>
      <c r="AN88" s="57"/>
      <c r="AO88" s="57"/>
      <c r="AP88" s="57"/>
      <c r="AQ88" s="57"/>
      <c r="AR88" s="57"/>
      <c r="AS88" s="57"/>
      <c r="AT88" s="57"/>
    </row>
    <row r="89" spans="1:46" x14ac:dyDescent="0.25">
      <c r="A89" s="70" t="str">
        <f t="shared" si="1"/>
        <v/>
      </c>
      <c r="B89" s="57"/>
      <c r="C89" s="57"/>
      <c r="D89" s="57"/>
      <c r="E89" s="57"/>
      <c r="F89" s="57"/>
      <c r="G89" s="57"/>
      <c r="H89" s="57"/>
      <c r="I89" s="57"/>
      <c r="J89" s="57"/>
      <c r="K89" s="57"/>
      <c r="L89" s="57"/>
      <c r="M89" s="57"/>
      <c r="N89" s="57"/>
      <c r="O89" s="57"/>
      <c r="P89" s="57"/>
      <c r="Q89" s="57"/>
      <c r="R89" s="57"/>
      <c r="S89" s="57"/>
      <c r="T89" s="57"/>
      <c r="U89" s="57"/>
      <c r="V89" s="57"/>
      <c r="W89" s="57"/>
      <c r="X89" s="57"/>
      <c r="Y89" s="57"/>
      <c r="Z89" s="57"/>
      <c r="AA89" s="57"/>
      <c r="AB89" s="57"/>
      <c r="AC89" s="57"/>
      <c r="AD89" s="57"/>
      <c r="AE89" s="57"/>
      <c r="AF89" s="57"/>
      <c r="AG89" s="57"/>
      <c r="AH89" s="57"/>
      <c r="AI89" s="57"/>
      <c r="AJ89" s="57"/>
      <c r="AK89" s="57"/>
      <c r="AL89" s="57"/>
      <c r="AM89" s="57"/>
      <c r="AN89" s="57"/>
      <c r="AO89" s="57"/>
      <c r="AP89" s="57"/>
      <c r="AQ89" s="57"/>
      <c r="AR89" s="57"/>
      <c r="AS89" s="57"/>
      <c r="AT89" s="57"/>
    </row>
    <row r="90" spans="1:46" x14ac:dyDescent="0.25">
      <c r="A90" s="70" t="str">
        <f t="shared" si="1"/>
        <v/>
      </c>
      <c r="B90" s="57"/>
      <c r="C90" s="57"/>
      <c r="D90" s="57"/>
      <c r="E90" s="57"/>
      <c r="F90" s="57"/>
      <c r="G90" s="57"/>
      <c r="H90" s="57"/>
      <c r="I90" s="57"/>
      <c r="J90" s="57"/>
      <c r="K90" s="57"/>
      <c r="L90" s="57"/>
      <c r="M90" s="57"/>
      <c r="N90" s="57"/>
      <c r="O90" s="57"/>
      <c r="P90" s="57"/>
      <c r="Q90" s="57"/>
      <c r="R90" s="57"/>
      <c r="S90" s="57"/>
      <c r="T90" s="57"/>
      <c r="U90" s="57"/>
      <c r="V90" s="57"/>
      <c r="W90" s="57"/>
      <c r="X90" s="57"/>
      <c r="Y90" s="57"/>
      <c r="Z90" s="57"/>
      <c r="AA90" s="57"/>
      <c r="AB90" s="57"/>
      <c r="AC90" s="57"/>
      <c r="AD90" s="57"/>
      <c r="AE90" s="57"/>
      <c r="AF90" s="57"/>
      <c r="AG90" s="57"/>
      <c r="AH90" s="57"/>
      <c r="AI90" s="57"/>
      <c r="AJ90" s="57"/>
      <c r="AK90" s="57"/>
      <c r="AL90" s="57"/>
      <c r="AM90" s="57"/>
      <c r="AN90" s="57"/>
      <c r="AO90" s="57"/>
      <c r="AP90" s="57"/>
      <c r="AQ90" s="57"/>
      <c r="AR90" s="57"/>
      <c r="AS90" s="57"/>
      <c r="AT90" s="57"/>
    </row>
    <row r="91" spans="1:46" x14ac:dyDescent="0.25">
      <c r="A91" s="70" t="str">
        <f t="shared" si="1"/>
        <v/>
      </c>
      <c r="B91" s="57"/>
      <c r="C91" s="57"/>
      <c r="D91" s="57"/>
      <c r="E91" s="57"/>
      <c r="F91" s="57"/>
      <c r="G91" s="57"/>
      <c r="H91" s="57"/>
      <c r="I91" s="57"/>
      <c r="J91" s="57"/>
      <c r="K91" s="57"/>
      <c r="L91" s="57"/>
      <c r="M91" s="57"/>
      <c r="N91" s="57"/>
      <c r="O91" s="57"/>
      <c r="P91" s="57"/>
      <c r="Q91" s="57"/>
      <c r="R91" s="57"/>
      <c r="S91" s="57"/>
      <c r="T91" s="57"/>
      <c r="U91" s="57"/>
      <c r="V91" s="57"/>
      <c r="W91" s="57"/>
      <c r="X91" s="57"/>
      <c r="Y91" s="57"/>
      <c r="Z91" s="57"/>
      <c r="AA91" s="57"/>
      <c r="AB91" s="57"/>
      <c r="AC91" s="57"/>
      <c r="AD91" s="57"/>
      <c r="AE91" s="57"/>
      <c r="AF91" s="57"/>
      <c r="AG91" s="57"/>
      <c r="AH91" s="57"/>
      <c r="AI91" s="57"/>
      <c r="AJ91" s="57"/>
      <c r="AK91" s="57"/>
      <c r="AL91" s="57"/>
      <c r="AM91" s="57"/>
      <c r="AN91" s="57"/>
      <c r="AO91" s="57"/>
      <c r="AP91" s="57"/>
      <c r="AQ91" s="57"/>
      <c r="AR91" s="57"/>
      <c r="AS91" s="57"/>
      <c r="AT91" s="57"/>
    </row>
    <row r="92" spans="1:46" x14ac:dyDescent="0.25">
      <c r="A92" s="70" t="str">
        <f t="shared" si="1"/>
        <v/>
      </c>
      <c r="B92" s="57"/>
      <c r="C92" s="57"/>
      <c r="D92" s="57"/>
      <c r="E92" s="57"/>
      <c r="F92" s="57"/>
      <c r="G92" s="57"/>
      <c r="H92" s="57"/>
      <c r="I92" s="57"/>
      <c r="J92" s="57"/>
      <c r="K92" s="57"/>
      <c r="L92" s="57"/>
      <c r="M92" s="57"/>
      <c r="N92" s="57"/>
      <c r="O92" s="57"/>
      <c r="P92" s="57"/>
      <c r="Q92" s="57"/>
      <c r="R92" s="57"/>
      <c r="S92" s="57"/>
      <c r="T92" s="57"/>
      <c r="U92" s="57"/>
      <c r="V92" s="57"/>
      <c r="W92" s="57"/>
      <c r="X92" s="57"/>
      <c r="Y92" s="57"/>
      <c r="Z92" s="57"/>
      <c r="AA92" s="57"/>
      <c r="AB92" s="57"/>
      <c r="AC92" s="57"/>
      <c r="AD92" s="57"/>
      <c r="AE92" s="57"/>
      <c r="AF92" s="57"/>
      <c r="AG92" s="57"/>
      <c r="AH92" s="57"/>
      <c r="AI92" s="57"/>
      <c r="AJ92" s="57"/>
      <c r="AK92" s="57"/>
      <c r="AL92" s="57"/>
      <c r="AM92" s="57"/>
      <c r="AN92" s="57"/>
      <c r="AO92" s="57"/>
      <c r="AP92" s="57"/>
      <c r="AQ92" s="57"/>
      <c r="AR92" s="57"/>
      <c r="AS92" s="57"/>
      <c r="AT92" s="57"/>
    </row>
    <row r="93" spans="1:46" x14ac:dyDescent="0.25">
      <c r="A93" s="70" t="str">
        <f t="shared" si="1"/>
        <v/>
      </c>
      <c r="B93" s="57"/>
      <c r="C93" s="57"/>
      <c r="D93" s="57"/>
      <c r="E93" s="57"/>
      <c r="F93" s="57"/>
      <c r="G93" s="57"/>
      <c r="H93" s="57"/>
      <c r="I93" s="57"/>
      <c r="J93" s="57"/>
      <c r="K93" s="57"/>
      <c r="L93" s="57"/>
      <c r="M93" s="57"/>
      <c r="N93" s="57"/>
      <c r="O93" s="57"/>
      <c r="P93" s="57"/>
      <c r="Q93" s="57"/>
      <c r="R93" s="57"/>
      <c r="S93" s="57"/>
      <c r="T93" s="57"/>
      <c r="U93" s="57"/>
      <c r="V93" s="57"/>
      <c r="W93" s="57"/>
      <c r="X93" s="57"/>
      <c r="Y93" s="57"/>
      <c r="Z93" s="57"/>
      <c r="AA93" s="57"/>
      <c r="AB93" s="57"/>
      <c r="AC93" s="57"/>
      <c r="AD93" s="57"/>
      <c r="AE93" s="57"/>
      <c r="AF93" s="57"/>
      <c r="AG93" s="57"/>
      <c r="AH93" s="57"/>
      <c r="AI93" s="57"/>
      <c r="AJ93" s="57"/>
      <c r="AK93" s="57"/>
      <c r="AL93" s="57"/>
      <c r="AM93" s="57"/>
      <c r="AN93" s="57"/>
      <c r="AO93" s="57"/>
      <c r="AP93" s="57"/>
      <c r="AQ93" s="57"/>
      <c r="AR93" s="57"/>
      <c r="AS93" s="57"/>
      <c r="AT93" s="57"/>
    </row>
    <row r="94" spans="1:46" x14ac:dyDescent="0.25">
      <c r="A94" s="70" t="str">
        <f t="shared" si="1"/>
        <v/>
      </c>
      <c r="B94" s="57"/>
      <c r="C94" s="57"/>
      <c r="D94" s="57"/>
      <c r="E94" s="57"/>
      <c r="F94" s="57"/>
      <c r="G94" s="57"/>
      <c r="H94" s="57"/>
      <c r="I94" s="57"/>
      <c r="J94" s="57"/>
      <c r="K94" s="57"/>
      <c r="L94" s="57"/>
      <c r="M94" s="57"/>
      <c r="N94" s="57"/>
      <c r="O94" s="57"/>
      <c r="P94" s="57"/>
      <c r="Q94" s="57"/>
      <c r="R94" s="57"/>
      <c r="S94" s="57"/>
      <c r="T94" s="57"/>
      <c r="U94" s="57"/>
      <c r="V94" s="57"/>
      <c r="W94" s="57"/>
      <c r="X94" s="57"/>
      <c r="Y94" s="57"/>
      <c r="Z94" s="57"/>
      <c r="AA94" s="57"/>
      <c r="AB94" s="57"/>
      <c r="AC94" s="57"/>
      <c r="AD94" s="57"/>
      <c r="AE94" s="57"/>
      <c r="AF94" s="57"/>
      <c r="AG94" s="57"/>
      <c r="AH94" s="57"/>
      <c r="AI94" s="57"/>
      <c r="AJ94" s="57"/>
      <c r="AK94" s="57"/>
      <c r="AL94" s="57"/>
      <c r="AM94" s="57"/>
      <c r="AN94" s="57"/>
      <c r="AO94" s="57"/>
      <c r="AP94" s="57"/>
      <c r="AQ94" s="57"/>
      <c r="AR94" s="57"/>
      <c r="AS94" s="57"/>
      <c r="AT94" s="57"/>
    </row>
    <row r="95" spans="1:46" x14ac:dyDescent="0.25">
      <c r="A95" s="70" t="str">
        <f t="shared" si="1"/>
        <v/>
      </c>
      <c r="B95" s="57"/>
      <c r="C95" s="57"/>
      <c r="D95" s="57"/>
      <c r="E95" s="57"/>
      <c r="F95" s="57"/>
      <c r="G95" s="57"/>
      <c r="H95" s="57"/>
      <c r="I95" s="57"/>
      <c r="J95" s="57"/>
      <c r="K95" s="57"/>
      <c r="L95" s="57"/>
      <c r="M95" s="57"/>
      <c r="N95" s="57"/>
      <c r="O95" s="57"/>
      <c r="P95" s="57"/>
      <c r="Q95" s="57"/>
      <c r="R95" s="57"/>
      <c r="S95" s="57"/>
      <c r="T95" s="57"/>
      <c r="U95" s="57"/>
      <c r="V95" s="57"/>
      <c r="W95" s="57"/>
      <c r="X95" s="57"/>
      <c r="Y95" s="57"/>
      <c r="Z95" s="57"/>
      <c r="AA95" s="57"/>
      <c r="AB95" s="57"/>
      <c r="AC95" s="57"/>
      <c r="AD95" s="57"/>
      <c r="AE95" s="57"/>
      <c r="AF95" s="57"/>
      <c r="AG95" s="57"/>
      <c r="AH95" s="57"/>
      <c r="AI95" s="57"/>
      <c r="AJ95" s="57"/>
      <c r="AK95" s="57"/>
      <c r="AL95" s="57"/>
      <c r="AM95" s="57"/>
      <c r="AN95" s="57"/>
      <c r="AO95" s="57"/>
      <c r="AP95" s="57"/>
      <c r="AQ95" s="57"/>
      <c r="AR95" s="57"/>
      <c r="AS95" s="57"/>
      <c r="AT95" s="57"/>
    </row>
    <row r="96" spans="1:46" x14ac:dyDescent="0.25">
      <c r="A96" s="70" t="str">
        <f t="shared" si="1"/>
        <v/>
      </c>
      <c r="B96" s="57"/>
      <c r="C96" s="57"/>
      <c r="D96" s="57"/>
      <c r="E96" s="57"/>
      <c r="F96" s="57"/>
      <c r="G96" s="57"/>
      <c r="H96" s="57"/>
      <c r="I96" s="57"/>
      <c r="J96" s="57"/>
      <c r="K96" s="57"/>
      <c r="L96" s="57"/>
      <c r="M96" s="57"/>
      <c r="N96" s="57"/>
      <c r="O96" s="57"/>
      <c r="P96" s="57"/>
      <c r="Q96" s="57"/>
      <c r="R96" s="57"/>
      <c r="S96" s="57"/>
      <c r="T96" s="57"/>
      <c r="U96" s="57"/>
      <c r="V96" s="57"/>
      <c r="W96" s="57"/>
      <c r="X96" s="57"/>
      <c r="Y96" s="57"/>
      <c r="Z96" s="57"/>
      <c r="AA96" s="57"/>
      <c r="AB96" s="57"/>
      <c r="AC96" s="57"/>
      <c r="AD96" s="57"/>
      <c r="AE96" s="57"/>
      <c r="AF96" s="57"/>
      <c r="AG96" s="57"/>
      <c r="AH96" s="57"/>
      <c r="AI96" s="57"/>
      <c r="AJ96" s="57"/>
      <c r="AK96" s="57"/>
      <c r="AL96" s="57"/>
      <c r="AM96" s="57"/>
      <c r="AN96" s="57"/>
      <c r="AO96" s="57"/>
      <c r="AP96" s="57"/>
      <c r="AQ96" s="57"/>
      <c r="AR96" s="57"/>
      <c r="AS96" s="57"/>
      <c r="AT96" s="57"/>
    </row>
    <row r="97" spans="1:46" x14ac:dyDescent="0.25">
      <c r="A97" s="70" t="str">
        <f t="shared" si="1"/>
        <v/>
      </c>
      <c r="B97" s="57"/>
      <c r="C97" s="57"/>
      <c r="D97" s="57"/>
      <c r="E97" s="57"/>
      <c r="F97" s="57"/>
      <c r="G97" s="57"/>
      <c r="H97" s="57"/>
      <c r="I97" s="57"/>
      <c r="J97" s="57"/>
      <c r="K97" s="57"/>
      <c r="L97" s="57"/>
      <c r="M97" s="57"/>
      <c r="N97" s="57"/>
      <c r="O97" s="57"/>
      <c r="P97" s="57"/>
      <c r="Q97" s="57"/>
      <c r="R97" s="57"/>
      <c r="S97" s="57"/>
      <c r="T97" s="57"/>
      <c r="U97" s="57"/>
      <c r="V97" s="57"/>
      <c r="W97" s="57"/>
      <c r="X97" s="57"/>
      <c r="Y97" s="57"/>
      <c r="Z97" s="57"/>
      <c r="AA97" s="57"/>
      <c r="AB97" s="57"/>
      <c r="AC97" s="57"/>
      <c r="AD97" s="57"/>
      <c r="AE97" s="57"/>
      <c r="AF97" s="57"/>
      <c r="AG97" s="57"/>
      <c r="AH97" s="57"/>
      <c r="AI97" s="57"/>
      <c r="AJ97" s="57"/>
      <c r="AK97" s="57"/>
      <c r="AL97" s="57"/>
      <c r="AM97" s="57"/>
      <c r="AN97" s="57"/>
      <c r="AO97" s="57"/>
      <c r="AP97" s="57"/>
      <c r="AQ97" s="57"/>
      <c r="AR97" s="57"/>
      <c r="AS97" s="57"/>
      <c r="AT97" s="57"/>
    </row>
    <row r="98" spans="1:46" x14ac:dyDescent="0.25">
      <c r="A98" s="70" t="str">
        <f t="shared" si="1"/>
        <v/>
      </c>
      <c r="B98" s="57"/>
      <c r="C98" s="57"/>
      <c r="D98" s="57"/>
      <c r="E98" s="57"/>
      <c r="F98" s="57"/>
      <c r="G98" s="57"/>
      <c r="H98" s="57"/>
      <c r="I98" s="57"/>
      <c r="J98" s="57"/>
      <c r="K98" s="57"/>
      <c r="L98" s="57"/>
      <c r="M98" s="57"/>
      <c r="N98" s="57"/>
      <c r="O98" s="57"/>
      <c r="P98" s="57"/>
      <c r="Q98" s="57"/>
      <c r="R98" s="57"/>
      <c r="S98" s="57"/>
      <c r="T98" s="57"/>
      <c r="U98" s="57"/>
      <c r="V98" s="57"/>
      <c r="W98" s="57"/>
      <c r="X98" s="57"/>
      <c r="Y98" s="57"/>
      <c r="Z98" s="57"/>
      <c r="AA98" s="57"/>
      <c r="AB98" s="57"/>
      <c r="AC98" s="57"/>
      <c r="AD98" s="57"/>
      <c r="AE98" s="57"/>
      <c r="AF98" s="57"/>
      <c r="AG98" s="57"/>
      <c r="AH98" s="57"/>
      <c r="AI98" s="57"/>
      <c r="AJ98" s="57"/>
      <c r="AK98" s="57"/>
      <c r="AL98" s="57"/>
      <c r="AM98" s="57"/>
      <c r="AN98" s="57"/>
      <c r="AO98" s="57"/>
      <c r="AP98" s="57"/>
      <c r="AQ98" s="57"/>
      <c r="AR98" s="57"/>
      <c r="AS98" s="57"/>
      <c r="AT98" s="57"/>
    </row>
    <row r="99" spans="1:46" x14ac:dyDescent="0.25">
      <c r="A99" s="70" t="str">
        <f t="shared" si="1"/>
        <v/>
      </c>
      <c r="B99" s="57"/>
      <c r="C99" s="57"/>
      <c r="D99" s="57"/>
      <c r="E99" s="57"/>
      <c r="F99" s="57"/>
      <c r="G99" s="57"/>
      <c r="H99" s="57"/>
      <c r="I99" s="57"/>
      <c r="J99" s="57"/>
      <c r="K99" s="57"/>
      <c r="L99" s="57"/>
      <c r="M99" s="57"/>
      <c r="N99" s="57"/>
      <c r="O99" s="57"/>
      <c r="P99" s="57"/>
      <c r="Q99" s="57"/>
      <c r="R99" s="57"/>
      <c r="S99" s="57"/>
      <c r="T99" s="57"/>
      <c r="U99" s="57"/>
      <c r="V99" s="57"/>
      <c r="W99" s="57"/>
      <c r="X99" s="57"/>
      <c r="Y99" s="57"/>
      <c r="Z99" s="57"/>
      <c r="AA99" s="57"/>
      <c r="AB99" s="57"/>
      <c r="AC99" s="57"/>
      <c r="AD99" s="57"/>
      <c r="AE99" s="57"/>
      <c r="AF99" s="57"/>
      <c r="AG99" s="57"/>
      <c r="AH99" s="57"/>
      <c r="AI99" s="57"/>
      <c r="AJ99" s="57"/>
      <c r="AK99" s="57"/>
      <c r="AL99" s="57"/>
      <c r="AM99" s="57"/>
      <c r="AN99" s="57"/>
      <c r="AO99" s="57"/>
      <c r="AP99" s="57"/>
      <c r="AQ99" s="57"/>
      <c r="AR99" s="57"/>
      <c r="AS99" s="57"/>
      <c r="AT99" s="57"/>
    </row>
    <row r="100" spans="1:46" x14ac:dyDescent="0.25">
      <c r="A100" s="70" t="str">
        <f t="shared" si="1"/>
        <v/>
      </c>
      <c r="B100" s="57"/>
      <c r="C100" s="57"/>
      <c r="D100" s="57"/>
      <c r="E100" s="57"/>
      <c r="F100" s="57"/>
      <c r="G100" s="57"/>
      <c r="H100" s="57"/>
      <c r="I100" s="57"/>
      <c r="J100" s="57"/>
      <c r="K100" s="57"/>
      <c r="L100" s="57"/>
      <c r="M100" s="57"/>
      <c r="N100" s="57"/>
      <c r="O100" s="57"/>
      <c r="P100" s="57"/>
      <c r="Q100" s="57"/>
      <c r="R100" s="57"/>
      <c r="S100" s="57"/>
      <c r="T100" s="57"/>
      <c r="U100" s="57"/>
      <c r="V100" s="57"/>
      <c r="W100" s="57"/>
      <c r="X100" s="57"/>
      <c r="Y100" s="57"/>
      <c r="Z100" s="57"/>
      <c r="AA100" s="57"/>
      <c r="AB100" s="57"/>
      <c r="AC100" s="57"/>
      <c r="AD100" s="57"/>
      <c r="AE100" s="57"/>
      <c r="AF100" s="57"/>
      <c r="AG100" s="57"/>
      <c r="AH100" s="57"/>
      <c r="AI100" s="57"/>
      <c r="AJ100" s="57"/>
      <c r="AK100" s="57"/>
      <c r="AL100" s="57"/>
      <c r="AM100" s="57"/>
      <c r="AN100" s="57"/>
      <c r="AO100" s="57"/>
      <c r="AP100" s="57"/>
      <c r="AQ100" s="57"/>
      <c r="AR100" s="57"/>
      <c r="AS100" s="57"/>
      <c r="AT100" s="57"/>
    </row>
    <row r="101" spans="1:46" x14ac:dyDescent="0.25">
      <c r="A101" s="70" t="str">
        <f t="shared" si="1"/>
        <v/>
      </c>
      <c r="B101" s="57"/>
      <c r="C101" s="57"/>
      <c r="D101" s="57"/>
      <c r="E101" s="57"/>
      <c r="F101" s="57"/>
      <c r="G101" s="57"/>
      <c r="H101" s="57"/>
      <c r="I101" s="57"/>
      <c r="J101" s="57"/>
      <c r="K101" s="57"/>
      <c r="L101" s="57"/>
      <c r="M101" s="57"/>
      <c r="N101" s="57"/>
      <c r="O101" s="57"/>
      <c r="P101" s="57"/>
      <c r="Q101" s="57"/>
      <c r="R101" s="57"/>
      <c r="S101" s="57"/>
      <c r="T101" s="57"/>
      <c r="U101" s="57"/>
      <c r="V101" s="57"/>
      <c r="W101" s="57"/>
      <c r="X101" s="57"/>
      <c r="Y101" s="57"/>
      <c r="Z101" s="57"/>
      <c r="AA101" s="57"/>
      <c r="AB101" s="57"/>
      <c r="AC101" s="57"/>
      <c r="AD101" s="57"/>
      <c r="AE101" s="57"/>
      <c r="AF101" s="57"/>
      <c r="AG101" s="57"/>
      <c r="AH101" s="57"/>
      <c r="AI101" s="57"/>
      <c r="AJ101" s="57"/>
      <c r="AK101" s="57"/>
      <c r="AL101" s="57"/>
      <c r="AM101" s="57"/>
      <c r="AN101" s="57"/>
      <c r="AO101" s="57"/>
      <c r="AP101" s="57"/>
      <c r="AQ101" s="57"/>
      <c r="AR101" s="57"/>
      <c r="AS101" s="57"/>
      <c r="AT101" s="57"/>
    </row>
    <row r="102" spans="1:46" x14ac:dyDescent="0.25">
      <c r="A102" s="70" t="str">
        <f t="shared" si="1"/>
        <v/>
      </c>
      <c r="B102" s="57"/>
      <c r="C102" s="57"/>
      <c r="D102" s="57"/>
      <c r="E102" s="57"/>
      <c r="F102" s="57"/>
      <c r="G102" s="57"/>
      <c r="H102" s="57"/>
      <c r="I102" s="57"/>
      <c r="J102" s="57"/>
      <c r="K102" s="57"/>
      <c r="L102" s="57"/>
      <c r="M102" s="57"/>
      <c r="N102" s="57"/>
      <c r="O102" s="57"/>
      <c r="P102" s="57"/>
      <c r="Q102" s="57"/>
      <c r="R102" s="57"/>
      <c r="S102" s="57"/>
      <c r="T102" s="57"/>
      <c r="U102" s="57"/>
      <c r="V102" s="57"/>
      <c r="W102" s="57"/>
      <c r="X102" s="57"/>
      <c r="Y102" s="57"/>
      <c r="Z102" s="57"/>
      <c r="AA102" s="57"/>
      <c r="AB102" s="57"/>
      <c r="AC102" s="57"/>
      <c r="AD102" s="57"/>
      <c r="AE102" s="57"/>
      <c r="AF102" s="57"/>
      <c r="AG102" s="57"/>
      <c r="AH102" s="57"/>
      <c r="AI102" s="57"/>
      <c r="AJ102" s="57"/>
      <c r="AK102" s="57"/>
      <c r="AL102" s="57"/>
      <c r="AM102" s="57"/>
      <c r="AN102" s="57"/>
      <c r="AO102" s="57"/>
      <c r="AP102" s="57"/>
      <c r="AQ102" s="57"/>
      <c r="AR102" s="57"/>
      <c r="AS102" s="57"/>
      <c r="AT102" s="57"/>
    </row>
    <row r="103" spans="1:46" x14ac:dyDescent="0.25">
      <c r="A103" s="70" t="str">
        <f t="shared" si="1"/>
        <v/>
      </c>
      <c r="B103" s="57"/>
      <c r="C103" s="57"/>
      <c r="D103" s="57"/>
      <c r="E103" s="57"/>
      <c r="F103" s="57"/>
      <c r="G103" s="57"/>
      <c r="H103" s="57"/>
      <c r="I103" s="57"/>
      <c r="J103" s="57"/>
      <c r="K103" s="57"/>
      <c r="L103" s="57"/>
      <c r="M103" s="57"/>
      <c r="N103" s="57"/>
      <c r="O103" s="57"/>
      <c r="P103" s="57"/>
      <c r="Q103" s="57"/>
      <c r="R103" s="57"/>
      <c r="S103" s="57"/>
      <c r="T103" s="57"/>
      <c r="U103" s="57"/>
      <c r="V103" s="57"/>
      <c r="W103" s="57"/>
      <c r="X103" s="57"/>
      <c r="Y103" s="57"/>
      <c r="Z103" s="57"/>
      <c r="AA103" s="57"/>
      <c r="AB103" s="57"/>
      <c r="AC103" s="57"/>
      <c r="AD103" s="57"/>
      <c r="AE103" s="57"/>
      <c r="AF103" s="57"/>
      <c r="AG103" s="57"/>
      <c r="AH103" s="57"/>
      <c r="AI103" s="57"/>
      <c r="AJ103" s="57"/>
      <c r="AK103" s="57"/>
      <c r="AL103" s="57"/>
      <c r="AM103" s="57"/>
      <c r="AN103" s="57"/>
      <c r="AO103" s="57"/>
      <c r="AP103" s="57"/>
      <c r="AQ103" s="57"/>
      <c r="AR103" s="57"/>
      <c r="AS103" s="57"/>
      <c r="AT103" s="57"/>
    </row>
    <row r="104" spans="1:46" x14ac:dyDescent="0.25">
      <c r="A104" s="70" t="str">
        <f t="shared" si="1"/>
        <v/>
      </c>
      <c r="B104" s="57"/>
      <c r="C104" s="57"/>
      <c r="D104" s="57"/>
      <c r="E104" s="57"/>
      <c r="F104" s="57"/>
      <c r="G104" s="57"/>
      <c r="H104" s="57"/>
      <c r="I104" s="57"/>
      <c r="J104" s="57"/>
      <c r="K104" s="57"/>
      <c r="L104" s="57"/>
      <c r="M104" s="57"/>
      <c r="N104" s="57"/>
      <c r="O104" s="57"/>
      <c r="P104" s="57"/>
      <c r="Q104" s="57"/>
      <c r="R104" s="57"/>
      <c r="S104" s="57"/>
      <c r="T104" s="57"/>
      <c r="U104" s="57"/>
      <c r="V104" s="57"/>
      <c r="W104" s="57"/>
      <c r="X104" s="57"/>
      <c r="Y104" s="57"/>
      <c r="Z104" s="57"/>
      <c r="AA104" s="57"/>
      <c r="AB104" s="57"/>
      <c r="AC104" s="57"/>
      <c r="AD104" s="57"/>
      <c r="AE104" s="57"/>
      <c r="AF104" s="57"/>
      <c r="AG104" s="57"/>
      <c r="AH104" s="57"/>
      <c r="AI104" s="57"/>
      <c r="AJ104" s="57"/>
      <c r="AK104" s="57"/>
      <c r="AL104" s="57"/>
      <c r="AM104" s="57"/>
      <c r="AN104" s="57"/>
      <c r="AO104" s="57"/>
      <c r="AP104" s="57"/>
      <c r="AQ104" s="57"/>
      <c r="AR104" s="57"/>
      <c r="AS104" s="57"/>
      <c r="AT104" s="57"/>
    </row>
    <row r="105" spans="1:46" x14ac:dyDescent="0.25">
      <c r="A105" s="70" t="str">
        <f t="shared" si="1"/>
        <v/>
      </c>
      <c r="B105" s="57"/>
      <c r="C105" s="57"/>
      <c r="D105" s="57"/>
      <c r="E105" s="57"/>
      <c r="F105" s="57"/>
      <c r="G105" s="57"/>
      <c r="H105" s="57"/>
      <c r="I105" s="57"/>
      <c r="J105" s="57"/>
      <c r="K105" s="57"/>
      <c r="L105" s="57"/>
      <c r="M105" s="57"/>
      <c r="N105" s="57"/>
      <c r="O105" s="57"/>
      <c r="P105" s="57"/>
      <c r="Q105" s="57"/>
      <c r="R105" s="57"/>
      <c r="S105" s="57"/>
      <c r="T105" s="57"/>
      <c r="U105" s="57"/>
      <c r="V105" s="57"/>
      <c r="W105" s="57"/>
      <c r="X105" s="57"/>
      <c r="Y105" s="57"/>
      <c r="Z105" s="57"/>
      <c r="AA105" s="57"/>
      <c r="AB105" s="57"/>
      <c r="AC105" s="57"/>
      <c r="AD105" s="57"/>
      <c r="AE105" s="57"/>
      <c r="AF105" s="57"/>
      <c r="AG105" s="57"/>
      <c r="AH105" s="57"/>
      <c r="AI105" s="57"/>
      <c r="AJ105" s="57"/>
      <c r="AK105" s="57"/>
      <c r="AL105" s="57"/>
      <c r="AM105" s="57"/>
      <c r="AN105" s="57"/>
      <c r="AO105" s="57"/>
      <c r="AP105" s="57"/>
      <c r="AQ105" s="57"/>
      <c r="AR105" s="57"/>
      <c r="AS105" s="57"/>
      <c r="AT105" s="57"/>
    </row>
    <row r="106" spans="1:46" x14ac:dyDescent="0.25">
      <c r="A106" s="70" t="str">
        <f t="shared" si="1"/>
        <v/>
      </c>
      <c r="B106" s="57"/>
      <c r="C106" s="57"/>
      <c r="D106" s="57"/>
      <c r="E106" s="57"/>
      <c r="F106" s="57"/>
      <c r="G106" s="57"/>
      <c r="H106" s="57"/>
      <c r="I106" s="57"/>
      <c r="J106" s="57"/>
      <c r="K106" s="57"/>
      <c r="L106" s="57"/>
      <c r="M106" s="57"/>
      <c r="N106" s="57"/>
      <c r="O106" s="57"/>
      <c r="P106" s="57"/>
      <c r="Q106" s="57"/>
      <c r="R106" s="57"/>
      <c r="S106" s="57"/>
      <c r="T106" s="57"/>
      <c r="U106" s="57"/>
      <c r="V106" s="57"/>
      <c r="W106" s="57"/>
      <c r="X106" s="57"/>
      <c r="Y106" s="57"/>
      <c r="Z106" s="57"/>
      <c r="AA106" s="57"/>
      <c r="AB106" s="57"/>
      <c r="AC106" s="57"/>
      <c r="AD106" s="57"/>
      <c r="AE106" s="57"/>
      <c r="AF106" s="57"/>
      <c r="AG106" s="57"/>
      <c r="AH106" s="57"/>
      <c r="AI106" s="57"/>
      <c r="AJ106" s="57"/>
      <c r="AK106" s="57"/>
      <c r="AL106" s="57"/>
      <c r="AM106" s="57"/>
      <c r="AN106" s="57"/>
      <c r="AO106" s="57"/>
      <c r="AP106" s="57"/>
      <c r="AQ106" s="57"/>
      <c r="AR106" s="57"/>
      <c r="AS106" s="57"/>
      <c r="AT106" s="57"/>
    </row>
    <row r="107" spans="1:46" x14ac:dyDescent="0.25">
      <c r="A107" s="70" t="str">
        <f t="shared" si="1"/>
        <v/>
      </c>
      <c r="B107" s="57"/>
      <c r="C107" s="57"/>
      <c r="D107" s="57"/>
      <c r="E107" s="57"/>
      <c r="F107" s="57"/>
      <c r="G107" s="57"/>
      <c r="H107" s="57"/>
      <c r="I107" s="57"/>
      <c r="J107" s="57"/>
      <c r="K107" s="57"/>
      <c r="L107" s="57"/>
      <c r="M107" s="57"/>
      <c r="N107" s="57"/>
      <c r="O107" s="57"/>
      <c r="P107" s="57"/>
      <c r="Q107" s="57"/>
      <c r="R107" s="57"/>
      <c r="S107" s="57"/>
      <c r="T107" s="57"/>
      <c r="U107" s="57"/>
      <c r="V107" s="57"/>
      <c r="W107" s="57"/>
      <c r="X107" s="57"/>
      <c r="Y107" s="57"/>
      <c r="Z107" s="57"/>
      <c r="AA107" s="57"/>
      <c r="AB107" s="57"/>
      <c r="AC107" s="57"/>
      <c r="AD107" s="57"/>
      <c r="AE107" s="57"/>
      <c r="AF107" s="57"/>
      <c r="AG107" s="57"/>
      <c r="AH107" s="57"/>
      <c r="AI107" s="57"/>
      <c r="AJ107" s="57"/>
      <c r="AK107" s="57"/>
      <c r="AL107" s="57"/>
      <c r="AM107" s="57"/>
      <c r="AN107" s="57"/>
      <c r="AO107" s="57"/>
      <c r="AP107" s="57"/>
      <c r="AQ107" s="57"/>
      <c r="AR107" s="57"/>
      <c r="AS107" s="57"/>
      <c r="AT107" s="57"/>
    </row>
    <row r="108" spans="1:46" x14ac:dyDescent="0.25">
      <c r="A108" s="70" t="str">
        <f t="shared" si="1"/>
        <v/>
      </c>
      <c r="B108" s="57"/>
      <c r="C108" s="57"/>
      <c r="D108" s="57"/>
      <c r="E108" s="57"/>
      <c r="F108" s="57"/>
      <c r="G108" s="57"/>
      <c r="H108" s="57"/>
      <c r="I108" s="57"/>
      <c r="J108" s="57"/>
      <c r="K108" s="57"/>
      <c r="L108" s="57"/>
      <c r="M108" s="57"/>
      <c r="N108" s="57"/>
      <c r="O108" s="57"/>
      <c r="P108" s="57"/>
      <c r="Q108" s="57"/>
      <c r="R108" s="57"/>
      <c r="S108" s="57"/>
      <c r="T108" s="57"/>
      <c r="U108" s="57"/>
      <c r="V108" s="57"/>
      <c r="W108" s="57"/>
      <c r="X108" s="57"/>
      <c r="Y108" s="57"/>
      <c r="Z108" s="57"/>
      <c r="AA108" s="57"/>
      <c r="AB108" s="57"/>
      <c r="AC108" s="57"/>
      <c r="AD108" s="57"/>
      <c r="AE108" s="57"/>
      <c r="AF108" s="57"/>
      <c r="AG108" s="57"/>
      <c r="AH108" s="57"/>
      <c r="AI108" s="57"/>
      <c r="AJ108" s="57"/>
      <c r="AK108" s="57"/>
      <c r="AL108" s="57"/>
      <c r="AM108" s="57"/>
      <c r="AN108" s="57"/>
      <c r="AO108" s="57"/>
      <c r="AP108" s="57"/>
      <c r="AQ108" s="57"/>
      <c r="AR108" s="57"/>
      <c r="AS108" s="57"/>
      <c r="AT108" s="57"/>
    </row>
    <row r="109" spans="1:46" x14ac:dyDescent="0.25">
      <c r="A109" s="70" t="str">
        <f t="shared" si="1"/>
        <v/>
      </c>
      <c r="B109" s="57"/>
      <c r="C109" s="57"/>
      <c r="D109" s="57"/>
      <c r="E109" s="57"/>
      <c r="F109" s="57"/>
      <c r="G109" s="57"/>
      <c r="H109" s="57"/>
      <c r="I109" s="57"/>
      <c r="J109" s="57"/>
      <c r="K109" s="57"/>
      <c r="L109" s="57"/>
      <c r="M109" s="57"/>
      <c r="N109" s="57"/>
      <c r="O109" s="57"/>
      <c r="P109" s="57"/>
      <c r="Q109" s="57"/>
      <c r="R109" s="57"/>
      <c r="S109" s="57"/>
      <c r="T109" s="57"/>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57"/>
    </row>
    <row r="110" spans="1:46" x14ac:dyDescent="0.25">
      <c r="A110" s="70" t="str">
        <f t="shared" si="1"/>
        <v/>
      </c>
      <c r="B110" s="57"/>
      <c r="C110" s="57"/>
      <c r="D110" s="57"/>
      <c r="E110" s="57"/>
      <c r="F110" s="57"/>
      <c r="G110" s="57"/>
      <c r="H110" s="57"/>
      <c r="I110" s="57"/>
      <c r="J110" s="57"/>
      <c r="K110" s="57"/>
      <c r="L110" s="57"/>
      <c r="M110" s="57"/>
      <c r="N110" s="57"/>
      <c r="O110" s="57"/>
      <c r="P110" s="57"/>
      <c r="Q110" s="57"/>
      <c r="R110" s="57"/>
      <c r="S110" s="57"/>
      <c r="T110" s="57"/>
      <c r="U110" s="57"/>
      <c r="V110" s="57"/>
      <c r="W110" s="57"/>
      <c r="X110" s="57"/>
      <c r="Y110" s="57"/>
      <c r="Z110" s="57"/>
      <c r="AA110" s="57"/>
      <c r="AB110" s="57"/>
      <c r="AC110" s="57"/>
      <c r="AD110" s="57"/>
      <c r="AE110" s="57"/>
      <c r="AF110" s="57"/>
      <c r="AG110" s="57"/>
      <c r="AH110" s="57"/>
      <c r="AI110" s="57"/>
      <c r="AJ110" s="57"/>
      <c r="AK110" s="57"/>
      <c r="AL110" s="57"/>
      <c r="AM110" s="57"/>
      <c r="AN110" s="57"/>
      <c r="AO110" s="57"/>
      <c r="AP110" s="57"/>
      <c r="AQ110" s="57"/>
      <c r="AR110" s="57"/>
      <c r="AS110" s="57"/>
      <c r="AT110" s="57"/>
    </row>
    <row r="111" spans="1:46" x14ac:dyDescent="0.25">
      <c r="A111" s="70" t="str">
        <f t="shared" si="1"/>
        <v/>
      </c>
      <c r="B111" s="57"/>
      <c r="C111" s="57"/>
      <c r="D111" s="57"/>
      <c r="E111" s="57"/>
      <c r="F111" s="57"/>
      <c r="G111" s="57"/>
      <c r="H111" s="57"/>
      <c r="I111" s="57"/>
      <c r="J111" s="57"/>
      <c r="K111" s="57"/>
      <c r="L111" s="57"/>
      <c r="M111" s="57"/>
      <c r="N111" s="57"/>
      <c r="O111" s="57"/>
      <c r="P111" s="57"/>
      <c r="Q111" s="57"/>
      <c r="R111" s="57"/>
      <c r="S111" s="57"/>
      <c r="T111" s="57"/>
      <c r="U111" s="57"/>
      <c r="V111" s="57"/>
      <c r="W111" s="57"/>
      <c r="X111" s="57"/>
      <c r="Y111" s="57"/>
      <c r="Z111" s="57"/>
      <c r="AA111" s="57"/>
      <c r="AB111" s="57"/>
      <c r="AC111" s="57"/>
      <c r="AD111" s="57"/>
      <c r="AE111" s="57"/>
      <c r="AF111" s="57"/>
      <c r="AG111" s="57"/>
      <c r="AH111" s="57"/>
      <c r="AI111" s="57"/>
      <c r="AJ111" s="57"/>
      <c r="AK111" s="57"/>
      <c r="AL111" s="57"/>
      <c r="AM111" s="57"/>
      <c r="AN111" s="57"/>
      <c r="AO111" s="57"/>
      <c r="AP111" s="57"/>
      <c r="AQ111" s="57"/>
      <c r="AR111" s="57"/>
      <c r="AS111" s="57"/>
      <c r="AT111" s="57"/>
    </row>
    <row r="112" spans="1:46" x14ac:dyDescent="0.25">
      <c r="A112" s="70" t="str">
        <f t="shared" si="1"/>
        <v/>
      </c>
      <c r="B112" s="57"/>
      <c r="C112" s="57"/>
      <c r="D112" s="57"/>
      <c r="E112" s="57"/>
      <c r="F112" s="57"/>
      <c r="G112" s="57"/>
      <c r="H112" s="57"/>
      <c r="I112" s="57"/>
      <c r="J112" s="57"/>
      <c r="K112" s="57"/>
      <c r="L112" s="57"/>
      <c r="M112" s="57"/>
      <c r="N112" s="57"/>
      <c r="O112" s="57"/>
      <c r="P112" s="57"/>
      <c r="Q112" s="57"/>
      <c r="R112" s="57"/>
      <c r="S112" s="57"/>
      <c r="T112" s="57"/>
      <c r="U112" s="57"/>
      <c r="V112" s="57"/>
      <c r="W112" s="57"/>
      <c r="X112" s="57"/>
      <c r="Y112" s="57"/>
      <c r="Z112" s="57"/>
      <c r="AA112" s="57"/>
      <c r="AB112" s="57"/>
      <c r="AC112" s="57"/>
      <c r="AD112" s="57"/>
      <c r="AE112" s="57"/>
      <c r="AF112" s="57"/>
      <c r="AG112" s="57"/>
      <c r="AH112" s="57"/>
      <c r="AI112" s="57"/>
      <c r="AJ112" s="57"/>
      <c r="AK112" s="57"/>
      <c r="AL112" s="57"/>
      <c r="AM112" s="57"/>
      <c r="AN112" s="57"/>
      <c r="AO112" s="57"/>
      <c r="AP112" s="57"/>
      <c r="AQ112" s="57"/>
      <c r="AR112" s="57"/>
      <c r="AS112" s="57"/>
      <c r="AT112" s="57"/>
    </row>
    <row r="113" spans="1:46" x14ac:dyDescent="0.25">
      <c r="A113" s="70" t="str">
        <f t="shared" si="1"/>
        <v/>
      </c>
      <c r="B113" s="57"/>
      <c r="C113" s="57"/>
      <c r="D113" s="57"/>
      <c r="E113" s="57"/>
      <c r="F113" s="57"/>
      <c r="G113" s="57"/>
      <c r="H113" s="57"/>
      <c r="I113" s="57"/>
      <c r="J113" s="57"/>
      <c r="K113" s="57"/>
      <c r="L113" s="57"/>
      <c r="M113" s="57"/>
      <c r="N113" s="57"/>
      <c r="O113" s="57"/>
      <c r="P113" s="57"/>
      <c r="Q113" s="57"/>
      <c r="R113" s="57"/>
      <c r="S113" s="57"/>
      <c r="T113" s="57"/>
      <c r="U113" s="57"/>
      <c r="V113" s="57"/>
      <c r="W113" s="57"/>
      <c r="X113" s="57"/>
      <c r="Y113" s="57"/>
      <c r="Z113" s="57"/>
      <c r="AA113" s="57"/>
      <c r="AB113" s="57"/>
      <c r="AC113" s="57"/>
      <c r="AD113" s="57"/>
      <c r="AE113" s="57"/>
      <c r="AF113" s="57"/>
      <c r="AG113" s="57"/>
      <c r="AH113" s="57"/>
      <c r="AI113" s="57"/>
      <c r="AJ113" s="57"/>
      <c r="AK113" s="57"/>
      <c r="AL113" s="57"/>
      <c r="AM113" s="57"/>
      <c r="AN113" s="57"/>
      <c r="AO113" s="57"/>
      <c r="AP113" s="57"/>
      <c r="AQ113" s="57"/>
      <c r="AR113" s="57"/>
      <c r="AS113" s="57"/>
      <c r="AT113" s="57"/>
    </row>
    <row r="114" spans="1:46" x14ac:dyDescent="0.25">
      <c r="A114" s="70" t="str">
        <f t="shared" si="1"/>
        <v/>
      </c>
      <c r="B114" s="57"/>
      <c r="C114" s="57"/>
      <c r="D114" s="57"/>
      <c r="E114" s="57"/>
      <c r="F114" s="57"/>
      <c r="G114" s="57"/>
      <c r="H114" s="57"/>
      <c r="I114" s="57"/>
      <c r="J114" s="57"/>
      <c r="K114" s="57"/>
      <c r="L114" s="57"/>
      <c r="M114" s="57"/>
      <c r="N114" s="57"/>
      <c r="O114" s="57"/>
      <c r="P114" s="57"/>
      <c r="Q114" s="57"/>
      <c r="R114" s="57"/>
      <c r="S114" s="57"/>
      <c r="T114" s="57"/>
      <c r="U114" s="57"/>
      <c r="V114" s="57"/>
      <c r="W114" s="57"/>
      <c r="X114" s="57"/>
      <c r="Y114" s="57"/>
      <c r="Z114" s="57"/>
      <c r="AA114" s="57"/>
      <c r="AB114" s="57"/>
      <c r="AC114" s="57"/>
      <c r="AD114" s="57"/>
      <c r="AE114" s="57"/>
      <c r="AF114" s="57"/>
      <c r="AG114" s="57"/>
      <c r="AH114" s="57"/>
      <c r="AI114" s="57"/>
      <c r="AJ114" s="57"/>
      <c r="AK114" s="57"/>
      <c r="AL114" s="57"/>
      <c r="AM114" s="57"/>
      <c r="AN114" s="57"/>
      <c r="AO114" s="57"/>
      <c r="AP114" s="57"/>
      <c r="AQ114" s="57"/>
      <c r="AR114" s="57"/>
      <c r="AS114" s="57"/>
      <c r="AT114" s="57"/>
    </row>
    <row r="115" spans="1:46" x14ac:dyDescent="0.25">
      <c r="A115" s="70" t="str">
        <f t="shared" si="1"/>
        <v/>
      </c>
      <c r="B115" s="57"/>
      <c r="C115" s="57"/>
      <c r="D115" s="57"/>
      <c r="E115" s="57"/>
      <c r="F115" s="57"/>
      <c r="G115" s="57"/>
      <c r="H115" s="57"/>
      <c r="I115" s="57"/>
      <c r="J115" s="57"/>
      <c r="K115" s="57"/>
      <c r="L115" s="57"/>
      <c r="M115" s="57"/>
      <c r="N115" s="57"/>
      <c r="O115" s="57"/>
      <c r="P115" s="57"/>
      <c r="Q115" s="57"/>
      <c r="R115" s="57"/>
      <c r="S115" s="57"/>
      <c r="T115" s="57"/>
      <c r="U115" s="57"/>
      <c r="V115" s="57"/>
      <c r="W115" s="57"/>
      <c r="X115" s="57"/>
      <c r="Y115" s="57"/>
      <c r="Z115" s="57"/>
      <c r="AA115" s="57"/>
      <c r="AB115" s="57"/>
      <c r="AC115" s="57"/>
      <c r="AD115" s="57"/>
      <c r="AE115" s="57"/>
      <c r="AF115" s="57"/>
      <c r="AG115" s="57"/>
      <c r="AH115" s="57"/>
      <c r="AI115" s="57"/>
      <c r="AJ115" s="57"/>
      <c r="AK115" s="57"/>
      <c r="AL115" s="57"/>
      <c r="AM115" s="57"/>
      <c r="AN115" s="57"/>
      <c r="AO115" s="57"/>
      <c r="AP115" s="57"/>
      <c r="AQ115" s="57"/>
      <c r="AR115" s="57"/>
      <c r="AS115" s="57"/>
      <c r="AT115" s="57"/>
    </row>
    <row r="116" spans="1:46" x14ac:dyDescent="0.25">
      <c r="A116" s="70" t="str">
        <f t="shared" si="1"/>
        <v/>
      </c>
      <c r="B116" s="57"/>
      <c r="C116" s="57"/>
      <c r="D116" s="57"/>
      <c r="E116" s="57"/>
      <c r="F116" s="57"/>
      <c r="G116" s="57"/>
      <c r="H116" s="57"/>
      <c r="I116" s="57"/>
      <c r="J116" s="57"/>
      <c r="K116" s="57"/>
      <c r="L116" s="57"/>
      <c r="M116" s="57"/>
      <c r="N116" s="57"/>
      <c r="O116" s="57"/>
      <c r="P116" s="57"/>
      <c r="Q116" s="57"/>
      <c r="R116" s="57"/>
      <c r="S116" s="57"/>
      <c r="T116" s="57"/>
      <c r="U116" s="57"/>
      <c r="V116" s="57"/>
      <c r="W116" s="57"/>
      <c r="X116" s="57"/>
      <c r="Y116" s="57"/>
      <c r="Z116" s="57"/>
      <c r="AA116" s="57"/>
      <c r="AB116" s="57"/>
      <c r="AC116" s="57"/>
      <c r="AD116" s="57"/>
      <c r="AE116" s="57"/>
      <c r="AF116" s="57"/>
      <c r="AG116" s="57"/>
      <c r="AH116" s="57"/>
      <c r="AI116" s="57"/>
      <c r="AJ116" s="57"/>
      <c r="AK116" s="57"/>
      <c r="AL116" s="57"/>
      <c r="AM116" s="57"/>
      <c r="AN116" s="57"/>
      <c r="AO116" s="57"/>
      <c r="AP116" s="57"/>
      <c r="AQ116" s="57"/>
      <c r="AR116" s="57"/>
      <c r="AS116" s="57"/>
      <c r="AT116" s="57"/>
    </row>
    <row r="117" spans="1:46" x14ac:dyDescent="0.25">
      <c r="A117" s="70" t="str">
        <f t="shared" si="1"/>
        <v/>
      </c>
      <c r="B117" s="57"/>
      <c r="C117" s="57"/>
      <c r="D117" s="57"/>
      <c r="E117" s="57"/>
      <c r="F117" s="57"/>
      <c r="G117" s="57"/>
      <c r="H117" s="57"/>
      <c r="I117" s="57"/>
      <c r="J117" s="57"/>
      <c r="K117" s="57"/>
      <c r="L117" s="57"/>
      <c r="M117" s="57"/>
      <c r="N117" s="57"/>
      <c r="O117" s="57"/>
      <c r="P117" s="57"/>
      <c r="Q117" s="57"/>
      <c r="R117" s="57"/>
      <c r="S117" s="57"/>
      <c r="T117" s="57"/>
      <c r="U117" s="57"/>
      <c r="V117" s="57"/>
      <c r="W117" s="57"/>
      <c r="X117" s="57"/>
      <c r="Y117" s="57"/>
      <c r="Z117" s="57"/>
      <c r="AA117" s="57"/>
      <c r="AB117" s="57"/>
      <c r="AC117" s="57"/>
      <c r="AD117" s="57"/>
      <c r="AE117" s="57"/>
      <c r="AF117" s="57"/>
      <c r="AG117" s="57"/>
      <c r="AH117" s="57"/>
      <c r="AI117" s="57"/>
      <c r="AJ117" s="57"/>
      <c r="AK117" s="57"/>
      <c r="AL117" s="57"/>
      <c r="AM117" s="57"/>
      <c r="AN117" s="57"/>
      <c r="AO117" s="57"/>
      <c r="AP117" s="57"/>
      <c r="AQ117" s="57"/>
      <c r="AR117" s="57"/>
      <c r="AS117" s="57"/>
      <c r="AT117" s="57"/>
    </row>
    <row r="118" spans="1:46" x14ac:dyDescent="0.25">
      <c r="A118" s="70" t="str">
        <f t="shared" si="1"/>
        <v/>
      </c>
      <c r="B118" s="57"/>
      <c r="C118" s="57"/>
      <c r="D118" s="57"/>
      <c r="E118" s="57"/>
      <c r="F118" s="57"/>
      <c r="G118" s="57"/>
      <c r="H118" s="57"/>
      <c r="I118" s="57"/>
      <c r="J118" s="57"/>
      <c r="K118" s="57"/>
      <c r="L118" s="57"/>
      <c r="M118" s="57"/>
      <c r="N118" s="57"/>
      <c r="O118" s="57"/>
      <c r="P118" s="57"/>
      <c r="Q118" s="57"/>
      <c r="R118" s="57"/>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row>
    <row r="119" spans="1:46" x14ac:dyDescent="0.25">
      <c r="A119" s="70" t="str">
        <f t="shared" si="1"/>
        <v/>
      </c>
      <c r="B119" s="57"/>
      <c r="C119" s="57"/>
      <c r="D119" s="57"/>
      <c r="E119" s="57"/>
      <c r="F119" s="57"/>
      <c r="G119" s="57"/>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c r="AE119" s="57"/>
      <c r="AF119" s="57"/>
      <c r="AG119" s="57"/>
      <c r="AH119" s="57"/>
      <c r="AI119" s="57"/>
      <c r="AJ119" s="57"/>
      <c r="AK119" s="57"/>
      <c r="AL119" s="57"/>
      <c r="AM119" s="57"/>
      <c r="AN119" s="57"/>
      <c r="AO119" s="57"/>
      <c r="AP119" s="57"/>
      <c r="AQ119" s="57"/>
      <c r="AR119" s="57"/>
      <c r="AS119" s="57"/>
      <c r="AT119" s="57"/>
    </row>
    <row r="120" spans="1:46" x14ac:dyDescent="0.25">
      <c r="A120" s="70" t="str">
        <f t="shared" si="1"/>
        <v/>
      </c>
      <c r="B120" s="57"/>
      <c r="C120" s="57"/>
      <c r="D120" s="57"/>
      <c r="E120" s="57"/>
      <c r="F120" s="57"/>
      <c r="G120" s="57"/>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c r="AE120" s="57"/>
      <c r="AF120" s="57"/>
      <c r="AG120" s="57"/>
      <c r="AH120" s="57"/>
      <c r="AI120" s="57"/>
      <c r="AJ120" s="57"/>
      <c r="AK120" s="57"/>
      <c r="AL120" s="57"/>
      <c r="AM120" s="57"/>
      <c r="AN120" s="57"/>
      <c r="AO120" s="57"/>
      <c r="AP120" s="57"/>
      <c r="AQ120" s="57"/>
      <c r="AR120" s="57"/>
      <c r="AS120" s="57"/>
      <c r="AT120" s="57"/>
    </row>
    <row r="121" spans="1:46" x14ac:dyDescent="0.25">
      <c r="A121" s="70" t="str">
        <f t="shared" si="1"/>
        <v/>
      </c>
      <c r="B121" s="57"/>
      <c r="C121" s="57"/>
      <c r="D121" s="57"/>
      <c r="E121" s="57"/>
      <c r="F121" s="57"/>
      <c r="G121" s="57"/>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row>
    <row r="122" spans="1:46" x14ac:dyDescent="0.25">
      <c r="A122" s="70" t="str">
        <f t="shared" si="1"/>
        <v/>
      </c>
      <c r="B122" s="57"/>
      <c r="C122" s="57"/>
      <c r="D122" s="57"/>
      <c r="E122" s="57"/>
      <c r="F122" s="57"/>
      <c r="G122" s="57"/>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c r="AE122" s="57"/>
      <c r="AF122" s="57"/>
      <c r="AG122" s="57"/>
      <c r="AH122" s="57"/>
      <c r="AI122" s="57"/>
      <c r="AJ122" s="57"/>
      <c r="AK122" s="57"/>
      <c r="AL122" s="57"/>
      <c r="AM122" s="57"/>
      <c r="AN122" s="57"/>
      <c r="AO122" s="57"/>
      <c r="AP122" s="57"/>
      <c r="AQ122" s="57"/>
      <c r="AR122" s="57"/>
      <c r="AS122" s="57"/>
      <c r="AT122" s="57"/>
    </row>
    <row r="123" spans="1:46" x14ac:dyDescent="0.25">
      <c r="A123" s="70" t="str">
        <f t="shared" si="1"/>
        <v/>
      </c>
      <c r="B123" s="57"/>
      <c r="C123" s="57"/>
      <c r="D123" s="57"/>
      <c r="E123" s="57"/>
      <c r="F123" s="57"/>
      <c r="G123" s="57"/>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c r="AE123" s="57"/>
      <c r="AF123" s="57"/>
      <c r="AG123" s="57"/>
      <c r="AH123" s="57"/>
      <c r="AI123" s="57"/>
      <c r="AJ123" s="57"/>
      <c r="AK123" s="57"/>
      <c r="AL123" s="57"/>
      <c r="AM123" s="57"/>
      <c r="AN123" s="57"/>
      <c r="AO123" s="57"/>
      <c r="AP123" s="57"/>
      <c r="AQ123" s="57"/>
      <c r="AR123" s="57"/>
      <c r="AS123" s="57"/>
      <c r="AT123" s="57"/>
    </row>
    <row r="124" spans="1:46" x14ac:dyDescent="0.25">
      <c r="A124" s="70" t="str">
        <f t="shared" si="1"/>
        <v/>
      </c>
      <c r="B124" s="57"/>
      <c r="C124" s="57"/>
      <c r="D124" s="57"/>
      <c r="E124" s="57"/>
      <c r="F124" s="57"/>
      <c r="G124" s="57"/>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c r="AE124" s="57"/>
      <c r="AF124" s="57"/>
      <c r="AG124" s="57"/>
      <c r="AH124" s="57"/>
      <c r="AI124" s="57"/>
      <c r="AJ124" s="57"/>
      <c r="AK124" s="57"/>
      <c r="AL124" s="57"/>
      <c r="AM124" s="57"/>
      <c r="AN124" s="57"/>
      <c r="AO124" s="57"/>
      <c r="AP124" s="57"/>
      <c r="AQ124" s="57"/>
      <c r="AR124" s="57"/>
      <c r="AS124" s="57"/>
      <c r="AT124" s="57"/>
    </row>
    <row r="125" spans="1:46" x14ac:dyDescent="0.25">
      <c r="A125" s="70" t="str">
        <f t="shared" si="1"/>
        <v/>
      </c>
      <c r="B125" s="57"/>
      <c r="C125" s="57"/>
      <c r="D125" s="57"/>
      <c r="E125" s="57"/>
      <c r="F125" s="57"/>
      <c r="G125" s="57"/>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c r="AE125" s="57"/>
      <c r="AF125" s="57"/>
      <c r="AG125" s="57"/>
      <c r="AH125" s="57"/>
      <c r="AI125" s="57"/>
      <c r="AJ125" s="57"/>
      <c r="AK125" s="57"/>
      <c r="AL125" s="57"/>
      <c r="AM125" s="57"/>
      <c r="AN125" s="57"/>
      <c r="AO125" s="57"/>
      <c r="AP125" s="57"/>
      <c r="AQ125" s="57"/>
      <c r="AR125" s="57"/>
      <c r="AS125" s="57"/>
      <c r="AT125" s="57"/>
    </row>
    <row r="126" spans="1:46" x14ac:dyDescent="0.25">
      <c r="A126" s="70" t="str">
        <f t="shared" si="1"/>
        <v/>
      </c>
      <c r="B126" s="57"/>
      <c r="C126" s="57"/>
      <c r="D126" s="57"/>
      <c r="E126" s="57"/>
      <c r="F126" s="57"/>
      <c r="G126" s="57"/>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c r="AE126" s="57"/>
      <c r="AF126" s="57"/>
      <c r="AG126" s="57"/>
      <c r="AH126" s="57"/>
      <c r="AI126" s="57"/>
      <c r="AJ126" s="57"/>
      <c r="AK126" s="57"/>
      <c r="AL126" s="57"/>
      <c r="AM126" s="57"/>
      <c r="AN126" s="57"/>
      <c r="AO126" s="57"/>
      <c r="AP126" s="57"/>
      <c r="AQ126" s="57"/>
      <c r="AR126" s="57"/>
      <c r="AS126" s="57"/>
      <c r="AT126" s="57"/>
    </row>
    <row r="127" spans="1:46" x14ac:dyDescent="0.25">
      <c r="A127" s="70" t="str">
        <f t="shared" si="1"/>
        <v/>
      </c>
      <c r="B127" s="57"/>
      <c r="C127" s="57"/>
      <c r="D127" s="57"/>
      <c r="E127" s="57"/>
      <c r="F127" s="57"/>
      <c r="G127" s="57"/>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c r="AE127" s="57"/>
      <c r="AF127" s="57"/>
      <c r="AG127" s="57"/>
      <c r="AH127" s="57"/>
      <c r="AI127" s="57"/>
      <c r="AJ127" s="57"/>
      <c r="AK127" s="57"/>
      <c r="AL127" s="57"/>
      <c r="AM127" s="57"/>
      <c r="AN127" s="57"/>
      <c r="AO127" s="57"/>
      <c r="AP127" s="57"/>
      <c r="AQ127" s="57"/>
      <c r="AR127" s="57"/>
      <c r="AS127" s="57"/>
      <c r="AT127" s="57"/>
    </row>
    <row r="128" spans="1:46" x14ac:dyDescent="0.25">
      <c r="A128" s="70" t="str">
        <f t="shared" si="1"/>
        <v/>
      </c>
      <c r="B128" s="57"/>
      <c r="C128" s="57"/>
      <c r="D128" s="57"/>
      <c r="E128" s="57"/>
      <c r="F128" s="57"/>
      <c r="G128" s="57"/>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c r="AE128" s="57"/>
      <c r="AF128" s="57"/>
      <c r="AG128" s="57"/>
      <c r="AH128" s="57"/>
      <c r="AI128" s="57"/>
      <c r="AJ128" s="57"/>
      <c r="AK128" s="57"/>
      <c r="AL128" s="57"/>
      <c r="AM128" s="57"/>
      <c r="AN128" s="57"/>
      <c r="AO128" s="57"/>
      <c r="AP128" s="57"/>
      <c r="AQ128" s="57"/>
      <c r="AR128" s="57"/>
      <c r="AS128" s="57"/>
      <c r="AT128" s="57"/>
    </row>
    <row r="129" spans="1:46" x14ac:dyDescent="0.25">
      <c r="A129" s="70" t="str">
        <f t="shared" si="1"/>
        <v/>
      </c>
      <c r="B129" s="57"/>
      <c r="C129" s="57"/>
      <c r="D129" s="57"/>
      <c r="E129" s="57"/>
      <c r="F129" s="57"/>
      <c r="G129" s="57"/>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c r="AE129" s="57"/>
      <c r="AF129" s="57"/>
      <c r="AG129" s="57"/>
      <c r="AH129" s="57"/>
      <c r="AI129" s="57"/>
      <c r="AJ129" s="57"/>
      <c r="AK129" s="57"/>
      <c r="AL129" s="57"/>
      <c r="AM129" s="57"/>
      <c r="AN129" s="57"/>
      <c r="AO129" s="57"/>
      <c r="AP129" s="57"/>
      <c r="AQ129" s="57"/>
      <c r="AR129" s="57"/>
      <c r="AS129" s="57"/>
      <c r="AT129" s="57"/>
    </row>
    <row r="130" spans="1:46" x14ac:dyDescent="0.25">
      <c r="A130" s="70" t="str">
        <f t="shared" si="1"/>
        <v/>
      </c>
    </row>
    <row r="131" spans="1:46" x14ac:dyDescent="0.25">
      <c r="A131" s="70" t="str">
        <f t="shared" si="1"/>
        <v/>
      </c>
    </row>
    <row r="132" spans="1:46" x14ac:dyDescent="0.25">
      <c r="A132" s="70" t="str">
        <f t="shared" si="1"/>
        <v/>
      </c>
    </row>
    <row r="133" spans="1:46" x14ac:dyDescent="0.25">
      <c r="A133" s="70" t="str">
        <f t="shared" ref="A133:A196" si="2">IF(B133&lt;&gt;"",A132+1,"")</f>
        <v/>
      </c>
    </row>
    <row r="134" spans="1:46" x14ac:dyDescent="0.25">
      <c r="A134" s="70" t="str">
        <f t="shared" si="2"/>
        <v/>
      </c>
    </row>
    <row r="135" spans="1:46" x14ac:dyDescent="0.25">
      <c r="A135" s="70" t="str">
        <f t="shared" si="2"/>
        <v/>
      </c>
    </row>
    <row r="136" spans="1:46" x14ac:dyDescent="0.25">
      <c r="A136" s="70" t="str">
        <f t="shared" si="2"/>
        <v/>
      </c>
    </row>
    <row r="137" spans="1:46" x14ac:dyDescent="0.25">
      <c r="A137" s="70" t="str">
        <f t="shared" si="2"/>
        <v/>
      </c>
    </row>
    <row r="138" spans="1:46" x14ac:dyDescent="0.25">
      <c r="A138" s="70" t="str">
        <f t="shared" si="2"/>
        <v/>
      </c>
    </row>
    <row r="139" spans="1:46" x14ac:dyDescent="0.25">
      <c r="A139" s="70" t="str">
        <f t="shared" si="2"/>
        <v/>
      </c>
    </row>
    <row r="140" spans="1:46" x14ac:dyDescent="0.25">
      <c r="A140" s="70" t="str">
        <f t="shared" si="2"/>
        <v/>
      </c>
    </row>
    <row r="141" spans="1:46" x14ac:dyDescent="0.25">
      <c r="A141" s="70" t="str">
        <f t="shared" si="2"/>
        <v/>
      </c>
    </row>
    <row r="142" spans="1:46" x14ac:dyDescent="0.25">
      <c r="A142" s="70" t="str">
        <f t="shared" si="2"/>
        <v/>
      </c>
    </row>
    <row r="143" spans="1:46" x14ac:dyDescent="0.25">
      <c r="A143" s="70" t="str">
        <f t="shared" si="2"/>
        <v/>
      </c>
    </row>
    <row r="144" spans="1:46" x14ac:dyDescent="0.25">
      <c r="A144" s="70" t="str">
        <f t="shared" si="2"/>
        <v/>
      </c>
    </row>
    <row r="145" spans="1:1" x14ac:dyDescent="0.25">
      <c r="A145" s="70" t="str">
        <f t="shared" si="2"/>
        <v/>
      </c>
    </row>
    <row r="146" spans="1:1" x14ac:dyDescent="0.25">
      <c r="A146" s="70" t="str">
        <f t="shared" si="2"/>
        <v/>
      </c>
    </row>
    <row r="147" spans="1:1" x14ac:dyDescent="0.25">
      <c r="A147" s="70" t="str">
        <f t="shared" si="2"/>
        <v/>
      </c>
    </row>
    <row r="148" spans="1:1" x14ac:dyDescent="0.25">
      <c r="A148" s="70" t="str">
        <f t="shared" si="2"/>
        <v/>
      </c>
    </row>
    <row r="149" spans="1:1" x14ac:dyDescent="0.25">
      <c r="A149" s="70" t="str">
        <f t="shared" si="2"/>
        <v/>
      </c>
    </row>
    <row r="150" spans="1:1" x14ac:dyDescent="0.25">
      <c r="A150" s="70" t="str">
        <f t="shared" si="2"/>
        <v/>
      </c>
    </row>
    <row r="151" spans="1:1" x14ac:dyDescent="0.25">
      <c r="A151" s="70" t="str">
        <f t="shared" si="2"/>
        <v/>
      </c>
    </row>
    <row r="152" spans="1:1" x14ac:dyDescent="0.25">
      <c r="A152" s="70" t="str">
        <f t="shared" si="2"/>
        <v/>
      </c>
    </row>
    <row r="153" spans="1:1" x14ac:dyDescent="0.25">
      <c r="A153" s="70" t="str">
        <f t="shared" si="2"/>
        <v/>
      </c>
    </row>
    <row r="154" spans="1:1" x14ac:dyDescent="0.25">
      <c r="A154" s="70" t="str">
        <f t="shared" si="2"/>
        <v/>
      </c>
    </row>
    <row r="155" spans="1:1" x14ac:dyDescent="0.25">
      <c r="A155" s="70" t="str">
        <f t="shared" si="2"/>
        <v/>
      </c>
    </row>
    <row r="156" spans="1:1" x14ac:dyDescent="0.25">
      <c r="A156" s="70" t="str">
        <f t="shared" si="2"/>
        <v/>
      </c>
    </row>
    <row r="157" spans="1:1" x14ac:dyDescent="0.25">
      <c r="A157" s="70" t="str">
        <f t="shared" si="2"/>
        <v/>
      </c>
    </row>
    <row r="158" spans="1:1" x14ac:dyDescent="0.25">
      <c r="A158" s="70" t="str">
        <f t="shared" si="2"/>
        <v/>
      </c>
    </row>
    <row r="159" spans="1:1" x14ac:dyDescent="0.25">
      <c r="A159" s="70" t="str">
        <f t="shared" si="2"/>
        <v/>
      </c>
    </row>
    <row r="160" spans="1:1" x14ac:dyDescent="0.25">
      <c r="A160" s="70" t="str">
        <f t="shared" si="2"/>
        <v/>
      </c>
    </row>
    <row r="161" spans="1:1" x14ac:dyDescent="0.25">
      <c r="A161" s="70" t="str">
        <f t="shared" si="2"/>
        <v/>
      </c>
    </row>
    <row r="162" spans="1:1" x14ac:dyDescent="0.25">
      <c r="A162" s="70" t="str">
        <f t="shared" si="2"/>
        <v/>
      </c>
    </row>
    <row r="163" spans="1:1" x14ac:dyDescent="0.25">
      <c r="A163" s="70" t="str">
        <f t="shared" si="2"/>
        <v/>
      </c>
    </row>
    <row r="164" spans="1:1" x14ac:dyDescent="0.25">
      <c r="A164" s="70" t="str">
        <f t="shared" si="2"/>
        <v/>
      </c>
    </row>
    <row r="165" spans="1:1" x14ac:dyDescent="0.25">
      <c r="A165" s="70" t="str">
        <f t="shared" si="2"/>
        <v/>
      </c>
    </row>
    <row r="166" spans="1:1" x14ac:dyDescent="0.25">
      <c r="A166" s="70" t="str">
        <f t="shared" si="2"/>
        <v/>
      </c>
    </row>
    <row r="167" spans="1:1" x14ac:dyDescent="0.25">
      <c r="A167" s="70" t="str">
        <f t="shared" si="2"/>
        <v/>
      </c>
    </row>
    <row r="168" spans="1:1" x14ac:dyDescent="0.25">
      <c r="A168" s="70" t="str">
        <f t="shared" si="2"/>
        <v/>
      </c>
    </row>
    <row r="169" spans="1:1" x14ac:dyDescent="0.25">
      <c r="A169" s="70" t="str">
        <f t="shared" si="2"/>
        <v/>
      </c>
    </row>
    <row r="170" spans="1:1" x14ac:dyDescent="0.25">
      <c r="A170" s="70" t="str">
        <f t="shared" si="2"/>
        <v/>
      </c>
    </row>
    <row r="171" spans="1:1" x14ac:dyDescent="0.25">
      <c r="A171" s="70" t="str">
        <f t="shared" si="2"/>
        <v/>
      </c>
    </row>
    <row r="172" spans="1:1" x14ac:dyDescent="0.25">
      <c r="A172" s="70" t="str">
        <f t="shared" si="2"/>
        <v/>
      </c>
    </row>
    <row r="173" spans="1:1" x14ac:dyDescent="0.25">
      <c r="A173" s="70" t="str">
        <f t="shared" si="2"/>
        <v/>
      </c>
    </row>
    <row r="174" spans="1:1" x14ac:dyDescent="0.25">
      <c r="A174" s="70" t="str">
        <f t="shared" si="2"/>
        <v/>
      </c>
    </row>
    <row r="175" spans="1:1" x14ac:dyDescent="0.25">
      <c r="A175" s="70" t="str">
        <f t="shared" si="2"/>
        <v/>
      </c>
    </row>
    <row r="176" spans="1:1" x14ac:dyDescent="0.25">
      <c r="A176" s="70" t="str">
        <f t="shared" si="2"/>
        <v/>
      </c>
    </row>
    <row r="177" spans="1:1" x14ac:dyDescent="0.25">
      <c r="A177" s="70" t="str">
        <f t="shared" si="2"/>
        <v/>
      </c>
    </row>
    <row r="178" spans="1:1" x14ac:dyDescent="0.25">
      <c r="A178" s="70" t="str">
        <f t="shared" si="2"/>
        <v/>
      </c>
    </row>
    <row r="179" spans="1:1" x14ac:dyDescent="0.25">
      <c r="A179" s="70" t="str">
        <f t="shared" si="2"/>
        <v/>
      </c>
    </row>
    <row r="180" spans="1:1" x14ac:dyDescent="0.25">
      <c r="A180" s="70" t="str">
        <f t="shared" si="2"/>
        <v/>
      </c>
    </row>
    <row r="181" spans="1:1" x14ac:dyDescent="0.25">
      <c r="A181" s="70" t="str">
        <f t="shared" si="2"/>
        <v/>
      </c>
    </row>
    <row r="182" spans="1:1" x14ac:dyDescent="0.25">
      <c r="A182" s="70" t="str">
        <f t="shared" si="2"/>
        <v/>
      </c>
    </row>
    <row r="183" spans="1:1" x14ac:dyDescent="0.25">
      <c r="A183" s="70" t="str">
        <f t="shared" si="2"/>
        <v/>
      </c>
    </row>
    <row r="184" spans="1:1" x14ac:dyDescent="0.25">
      <c r="A184" s="70" t="str">
        <f t="shared" si="2"/>
        <v/>
      </c>
    </row>
    <row r="185" spans="1:1" x14ac:dyDescent="0.25">
      <c r="A185" s="70" t="str">
        <f t="shared" si="2"/>
        <v/>
      </c>
    </row>
    <row r="186" spans="1:1" x14ac:dyDescent="0.25">
      <c r="A186" s="70" t="str">
        <f t="shared" si="2"/>
        <v/>
      </c>
    </row>
    <row r="187" spans="1:1" x14ac:dyDescent="0.25">
      <c r="A187" s="70" t="str">
        <f t="shared" si="2"/>
        <v/>
      </c>
    </row>
    <row r="188" spans="1:1" x14ac:dyDescent="0.25">
      <c r="A188" s="70" t="str">
        <f t="shared" si="2"/>
        <v/>
      </c>
    </row>
    <row r="189" spans="1:1" x14ac:dyDescent="0.25">
      <c r="A189" s="70" t="str">
        <f t="shared" si="2"/>
        <v/>
      </c>
    </row>
    <row r="190" spans="1:1" x14ac:dyDescent="0.25">
      <c r="A190" s="70" t="str">
        <f t="shared" si="2"/>
        <v/>
      </c>
    </row>
    <row r="191" spans="1:1" x14ac:dyDescent="0.25">
      <c r="A191" s="70" t="str">
        <f t="shared" si="2"/>
        <v/>
      </c>
    </row>
    <row r="192" spans="1:1" x14ac:dyDescent="0.25">
      <c r="A192" s="70" t="str">
        <f t="shared" si="2"/>
        <v/>
      </c>
    </row>
    <row r="193" spans="1:1" x14ac:dyDescent="0.25">
      <c r="A193" s="70" t="str">
        <f t="shared" si="2"/>
        <v/>
      </c>
    </row>
    <row r="194" spans="1:1" x14ac:dyDescent="0.25">
      <c r="A194" s="70" t="str">
        <f t="shared" si="2"/>
        <v/>
      </c>
    </row>
    <row r="195" spans="1:1" x14ac:dyDescent="0.25">
      <c r="A195" s="70" t="str">
        <f t="shared" si="2"/>
        <v/>
      </c>
    </row>
    <row r="196" spans="1:1" x14ac:dyDescent="0.25">
      <c r="A196" s="70" t="str">
        <f t="shared" si="2"/>
        <v/>
      </c>
    </row>
    <row r="197" spans="1:1" x14ac:dyDescent="0.25">
      <c r="A197" s="70" t="str">
        <f t="shared" ref="A197:A260" si="3">IF(B197&lt;&gt;"",A196+1,"")</f>
        <v/>
      </c>
    </row>
    <row r="198" spans="1:1" x14ac:dyDescent="0.25">
      <c r="A198" s="70" t="str">
        <f t="shared" si="3"/>
        <v/>
      </c>
    </row>
    <row r="199" spans="1:1" x14ac:dyDescent="0.25">
      <c r="A199" s="70" t="str">
        <f t="shared" si="3"/>
        <v/>
      </c>
    </row>
    <row r="200" spans="1:1" x14ac:dyDescent="0.25">
      <c r="A200" s="70" t="str">
        <f t="shared" si="3"/>
        <v/>
      </c>
    </row>
    <row r="201" spans="1:1" x14ac:dyDescent="0.25">
      <c r="A201" s="70" t="str">
        <f t="shared" si="3"/>
        <v/>
      </c>
    </row>
    <row r="202" spans="1:1" x14ac:dyDescent="0.25">
      <c r="A202" s="70" t="str">
        <f t="shared" si="3"/>
        <v/>
      </c>
    </row>
    <row r="203" spans="1:1" x14ac:dyDescent="0.25">
      <c r="A203" s="70" t="str">
        <f t="shared" si="3"/>
        <v/>
      </c>
    </row>
    <row r="204" spans="1:1" x14ac:dyDescent="0.25">
      <c r="A204" s="70" t="str">
        <f t="shared" si="3"/>
        <v/>
      </c>
    </row>
    <row r="205" spans="1:1" x14ac:dyDescent="0.25">
      <c r="A205" s="70" t="str">
        <f t="shared" si="3"/>
        <v/>
      </c>
    </row>
    <row r="206" spans="1:1" x14ac:dyDescent="0.25">
      <c r="A206" s="70" t="str">
        <f t="shared" si="3"/>
        <v/>
      </c>
    </row>
    <row r="207" spans="1:1" x14ac:dyDescent="0.25">
      <c r="A207" s="70" t="str">
        <f t="shared" si="3"/>
        <v/>
      </c>
    </row>
    <row r="208" spans="1:1" x14ac:dyDescent="0.25">
      <c r="A208" s="70" t="str">
        <f t="shared" si="3"/>
        <v/>
      </c>
    </row>
    <row r="209" spans="1:1" x14ac:dyDescent="0.25">
      <c r="A209" s="70" t="str">
        <f t="shared" si="3"/>
        <v/>
      </c>
    </row>
    <row r="210" spans="1:1" x14ac:dyDescent="0.25">
      <c r="A210" s="70" t="str">
        <f t="shared" si="3"/>
        <v/>
      </c>
    </row>
    <row r="211" spans="1:1" x14ac:dyDescent="0.25">
      <c r="A211" s="70" t="str">
        <f t="shared" si="3"/>
        <v/>
      </c>
    </row>
    <row r="212" spans="1:1" x14ac:dyDescent="0.25">
      <c r="A212" s="70" t="str">
        <f t="shared" si="3"/>
        <v/>
      </c>
    </row>
    <row r="213" spans="1:1" x14ac:dyDescent="0.25">
      <c r="A213" s="70" t="str">
        <f t="shared" si="3"/>
        <v/>
      </c>
    </row>
    <row r="214" spans="1:1" x14ac:dyDescent="0.25">
      <c r="A214" s="70" t="str">
        <f t="shared" si="3"/>
        <v/>
      </c>
    </row>
    <row r="215" spans="1:1" x14ac:dyDescent="0.25">
      <c r="A215" s="70" t="str">
        <f t="shared" si="3"/>
        <v/>
      </c>
    </row>
    <row r="216" spans="1:1" x14ac:dyDescent="0.25">
      <c r="A216" s="70" t="str">
        <f t="shared" si="3"/>
        <v/>
      </c>
    </row>
    <row r="217" spans="1:1" x14ac:dyDescent="0.25">
      <c r="A217" s="70" t="str">
        <f t="shared" si="3"/>
        <v/>
      </c>
    </row>
    <row r="218" spans="1:1" x14ac:dyDescent="0.25">
      <c r="A218" s="70" t="str">
        <f t="shared" si="3"/>
        <v/>
      </c>
    </row>
    <row r="219" spans="1:1" x14ac:dyDescent="0.25">
      <c r="A219" s="70" t="str">
        <f t="shared" si="3"/>
        <v/>
      </c>
    </row>
    <row r="220" spans="1:1" x14ac:dyDescent="0.25">
      <c r="A220" s="70" t="str">
        <f t="shared" si="3"/>
        <v/>
      </c>
    </row>
    <row r="221" spans="1:1" x14ac:dyDescent="0.25">
      <c r="A221" s="70" t="str">
        <f t="shared" si="3"/>
        <v/>
      </c>
    </row>
    <row r="222" spans="1:1" x14ac:dyDescent="0.25">
      <c r="A222" s="70" t="str">
        <f t="shared" si="3"/>
        <v/>
      </c>
    </row>
    <row r="223" spans="1:1" x14ac:dyDescent="0.25">
      <c r="A223" s="70" t="str">
        <f t="shared" si="3"/>
        <v/>
      </c>
    </row>
    <row r="224" spans="1:1" x14ac:dyDescent="0.25">
      <c r="A224" s="70" t="str">
        <f t="shared" si="3"/>
        <v/>
      </c>
    </row>
    <row r="225" spans="1:1" x14ac:dyDescent="0.25">
      <c r="A225" s="70" t="str">
        <f t="shared" si="3"/>
        <v/>
      </c>
    </row>
    <row r="226" spans="1:1" x14ac:dyDescent="0.25">
      <c r="A226" s="70" t="str">
        <f t="shared" si="3"/>
        <v/>
      </c>
    </row>
    <row r="227" spans="1:1" x14ac:dyDescent="0.25">
      <c r="A227" s="70" t="str">
        <f t="shared" si="3"/>
        <v/>
      </c>
    </row>
    <row r="228" spans="1:1" x14ac:dyDescent="0.25">
      <c r="A228" s="70" t="str">
        <f t="shared" si="3"/>
        <v/>
      </c>
    </row>
    <row r="229" spans="1:1" x14ac:dyDescent="0.25">
      <c r="A229" s="70" t="str">
        <f t="shared" si="3"/>
        <v/>
      </c>
    </row>
    <row r="230" spans="1:1" x14ac:dyDescent="0.25">
      <c r="A230" s="70" t="str">
        <f t="shared" si="3"/>
        <v/>
      </c>
    </row>
    <row r="231" spans="1:1" x14ac:dyDescent="0.25">
      <c r="A231" s="70" t="str">
        <f t="shared" si="3"/>
        <v/>
      </c>
    </row>
    <row r="232" spans="1:1" x14ac:dyDescent="0.25">
      <c r="A232" s="70" t="str">
        <f t="shared" si="3"/>
        <v/>
      </c>
    </row>
    <row r="233" spans="1:1" x14ac:dyDescent="0.25">
      <c r="A233" s="70" t="str">
        <f t="shared" si="3"/>
        <v/>
      </c>
    </row>
    <row r="234" spans="1:1" x14ac:dyDescent="0.25">
      <c r="A234" s="70" t="str">
        <f t="shared" si="3"/>
        <v/>
      </c>
    </row>
    <row r="235" spans="1:1" x14ac:dyDescent="0.25">
      <c r="A235" s="70" t="str">
        <f t="shared" si="3"/>
        <v/>
      </c>
    </row>
    <row r="236" spans="1:1" x14ac:dyDescent="0.25">
      <c r="A236" s="70" t="str">
        <f t="shared" si="3"/>
        <v/>
      </c>
    </row>
    <row r="237" spans="1:1" x14ac:dyDescent="0.25">
      <c r="A237" s="70" t="str">
        <f t="shared" si="3"/>
        <v/>
      </c>
    </row>
    <row r="238" spans="1:1" x14ac:dyDescent="0.25">
      <c r="A238" s="70" t="str">
        <f t="shared" si="3"/>
        <v/>
      </c>
    </row>
    <row r="239" spans="1:1" x14ac:dyDescent="0.25">
      <c r="A239" s="70" t="str">
        <f t="shared" si="3"/>
        <v/>
      </c>
    </row>
    <row r="240" spans="1:1" x14ac:dyDescent="0.25">
      <c r="A240" s="70" t="str">
        <f t="shared" si="3"/>
        <v/>
      </c>
    </row>
    <row r="241" spans="1:1" x14ac:dyDescent="0.25">
      <c r="A241" s="70" t="str">
        <f t="shared" si="3"/>
        <v/>
      </c>
    </row>
    <row r="242" spans="1:1" x14ac:dyDescent="0.25">
      <c r="A242" s="70" t="str">
        <f t="shared" si="3"/>
        <v/>
      </c>
    </row>
    <row r="243" spans="1:1" x14ac:dyDescent="0.25">
      <c r="A243" s="70" t="str">
        <f t="shared" si="3"/>
        <v/>
      </c>
    </row>
    <row r="244" spans="1:1" x14ac:dyDescent="0.25">
      <c r="A244" s="70" t="str">
        <f t="shared" si="3"/>
        <v/>
      </c>
    </row>
    <row r="245" spans="1:1" x14ac:dyDescent="0.25">
      <c r="A245" s="70" t="str">
        <f t="shared" si="3"/>
        <v/>
      </c>
    </row>
    <row r="246" spans="1:1" x14ac:dyDescent="0.25">
      <c r="A246" s="70" t="str">
        <f t="shared" si="3"/>
        <v/>
      </c>
    </row>
    <row r="247" spans="1:1" x14ac:dyDescent="0.25">
      <c r="A247" s="70" t="str">
        <f t="shared" si="3"/>
        <v/>
      </c>
    </row>
    <row r="248" spans="1:1" x14ac:dyDescent="0.25">
      <c r="A248" s="70" t="str">
        <f t="shared" si="3"/>
        <v/>
      </c>
    </row>
    <row r="249" spans="1:1" x14ac:dyDescent="0.25">
      <c r="A249" s="70" t="str">
        <f t="shared" si="3"/>
        <v/>
      </c>
    </row>
    <row r="250" spans="1:1" x14ac:dyDescent="0.25">
      <c r="A250" s="70" t="str">
        <f t="shared" si="3"/>
        <v/>
      </c>
    </row>
    <row r="251" spans="1:1" x14ac:dyDescent="0.25">
      <c r="A251" s="70" t="str">
        <f t="shared" si="3"/>
        <v/>
      </c>
    </row>
    <row r="252" spans="1:1" x14ac:dyDescent="0.25">
      <c r="A252" s="70" t="str">
        <f t="shared" si="3"/>
        <v/>
      </c>
    </row>
    <row r="253" spans="1:1" x14ac:dyDescent="0.25">
      <c r="A253" s="70" t="str">
        <f t="shared" si="3"/>
        <v/>
      </c>
    </row>
    <row r="254" spans="1:1" x14ac:dyDescent="0.25">
      <c r="A254" s="70" t="str">
        <f t="shared" si="3"/>
        <v/>
      </c>
    </row>
    <row r="255" spans="1:1" x14ac:dyDescent="0.25">
      <c r="A255" s="70" t="str">
        <f t="shared" si="3"/>
        <v/>
      </c>
    </row>
    <row r="256" spans="1:1" x14ac:dyDescent="0.25">
      <c r="A256" s="70" t="str">
        <f t="shared" si="3"/>
        <v/>
      </c>
    </row>
    <row r="257" spans="1:1" x14ac:dyDescent="0.25">
      <c r="A257" s="70" t="str">
        <f t="shared" si="3"/>
        <v/>
      </c>
    </row>
    <row r="258" spans="1:1" x14ac:dyDescent="0.25">
      <c r="A258" s="70" t="str">
        <f t="shared" si="3"/>
        <v/>
      </c>
    </row>
    <row r="259" spans="1:1" x14ac:dyDescent="0.25">
      <c r="A259" s="70" t="str">
        <f t="shared" si="3"/>
        <v/>
      </c>
    </row>
    <row r="260" spans="1:1" x14ac:dyDescent="0.25">
      <c r="A260" s="70" t="str">
        <f t="shared" si="3"/>
        <v/>
      </c>
    </row>
    <row r="261" spans="1:1" x14ac:dyDescent="0.25">
      <c r="A261" s="70" t="str">
        <f t="shared" ref="A261:A324" si="4">IF(B261&lt;&gt;"",A260+1,"")</f>
        <v/>
      </c>
    </row>
    <row r="262" spans="1:1" x14ac:dyDescent="0.25">
      <c r="A262" s="70" t="str">
        <f t="shared" si="4"/>
        <v/>
      </c>
    </row>
    <row r="263" spans="1:1" x14ac:dyDescent="0.25">
      <c r="A263" s="70" t="str">
        <f t="shared" si="4"/>
        <v/>
      </c>
    </row>
    <row r="264" spans="1:1" x14ac:dyDescent="0.25">
      <c r="A264" s="70" t="str">
        <f t="shared" si="4"/>
        <v/>
      </c>
    </row>
    <row r="265" spans="1:1" x14ac:dyDescent="0.25">
      <c r="A265" s="70" t="str">
        <f t="shared" si="4"/>
        <v/>
      </c>
    </row>
    <row r="266" spans="1:1" x14ac:dyDescent="0.25">
      <c r="A266" s="70" t="str">
        <f t="shared" si="4"/>
        <v/>
      </c>
    </row>
    <row r="267" spans="1:1" x14ac:dyDescent="0.25">
      <c r="A267" s="70" t="str">
        <f t="shared" si="4"/>
        <v/>
      </c>
    </row>
    <row r="268" spans="1:1" x14ac:dyDescent="0.25">
      <c r="A268" s="70" t="str">
        <f t="shared" si="4"/>
        <v/>
      </c>
    </row>
    <row r="269" spans="1:1" x14ac:dyDescent="0.25">
      <c r="A269" s="70" t="str">
        <f t="shared" si="4"/>
        <v/>
      </c>
    </row>
    <row r="270" spans="1:1" x14ac:dyDescent="0.25">
      <c r="A270" s="70" t="str">
        <f t="shared" si="4"/>
        <v/>
      </c>
    </row>
    <row r="271" spans="1:1" x14ac:dyDescent="0.25">
      <c r="A271" s="70" t="str">
        <f t="shared" si="4"/>
        <v/>
      </c>
    </row>
    <row r="272" spans="1:1" x14ac:dyDescent="0.25">
      <c r="A272" s="70" t="str">
        <f t="shared" si="4"/>
        <v/>
      </c>
    </row>
    <row r="273" spans="1:1" x14ac:dyDescent="0.25">
      <c r="A273" s="70" t="str">
        <f t="shared" si="4"/>
        <v/>
      </c>
    </row>
    <row r="274" spans="1:1" x14ac:dyDescent="0.25">
      <c r="A274" s="70" t="str">
        <f t="shared" si="4"/>
        <v/>
      </c>
    </row>
    <row r="275" spans="1:1" x14ac:dyDescent="0.25">
      <c r="A275" s="70" t="str">
        <f t="shared" si="4"/>
        <v/>
      </c>
    </row>
    <row r="276" spans="1:1" x14ac:dyDescent="0.25">
      <c r="A276" s="70" t="str">
        <f t="shared" si="4"/>
        <v/>
      </c>
    </row>
    <row r="277" spans="1:1" x14ac:dyDescent="0.25">
      <c r="A277" s="70" t="str">
        <f t="shared" si="4"/>
        <v/>
      </c>
    </row>
    <row r="278" spans="1:1" x14ac:dyDescent="0.25">
      <c r="A278" s="70" t="str">
        <f t="shared" si="4"/>
        <v/>
      </c>
    </row>
    <row r="279" spans="1:1" x14ac:dyDescent="0.25">
      <c r="A279" s="70" t="str">
        <f t="shared" si="4"/>
        <v/>
      </c>
    </row>
    <row r="280" spans="1:1" x14ac:dyDescent="0.25">
      <c r="A280" s="70" t="str">
        <f t="shared" si="4"/>
        <v/>
      </c>
    </row>
    <row r="281" spans="1:1" x14ac:dyDescent="0.25">
      <c r="A281" s="70" t="str">
        <f t="shared" si="4"/>
        <v/>
      </c>
    </row>
    <row r="282" spans="1:1" x14ac:dyDescent="0.25">
      <c r="A282" s="70" t="str">
        <f t="shared" si="4"/>
        <v/>
      </c>
    </row>
    <row r="283" spans="1:1" x14ac:dyDescent="0.25">
      <c r="A283" s="70" t="str">
        <f t="shared" si="4"/>
        <v/>
      </c>
    </row>
    <row r="284" spans="1:1" x14ac:dyDescent="0.25">
      <c r="A284" s="70" t="str">
        <f t="shared" si="4"/>
        <v/>
      </c>
    </row>
    <row r="285" spans="1:1" x14ac:dyDescent="0.25">
      <c r="A285" s="70" t="str">
        <f t="shared" si="4"/>
        <v/>
      </c>
    </row>
    <row r="286" spans="1:1" x14ac:dyDescent="0.25">
      <c r="A286" s="70" t="str">
        <f t="shared" si="4"/>
        <v/>
      </c>
    </row>
    <row r="287" spans="1:1" x14ac:dyDescent="0.25">
      <c r="A287" s="70" t="str">
        <f t="shared" si="4"/>
        <v/>
      </c>
    </row>
    <row r="288" spans="1:1" x14ac:dyDescent="0.25">
      <c r="A288" s="70" t="str">
        <f t="shared" si="4"/>
        <v/>
      </c>
    </row>
    <row r="289" spans="1:1" x14ac:dyDescent="0.25">
      <c r="A289" s="70" t="str">
        <f t="shared" si="4"/>
        <v/>
      </c>
    </row>
    <row r="290" spans="1:1" x14ac:dyDescent="0.25">
      <c r="A290" s="70" t="str">
        <f t="shared" si="4"/>
        <v/>
      </c>
    </row>
    <row r="291" spans="1:1" x14ac:dyDescent="0.25">
      <c r="A291" s="70" t="str">
        <f t="shared" si="4"/>
        <v/>
      </c>
    </row>
    <row r="292" spans="1:1" x14ac:dyDescent="0.25">
      <c r="A292" s="70" t="str">
        <f t="shared" si="4"/>
        <v/>
      </c>
    </row>
    <row r="293" spans="1:1" x14ac:dyDescent="0.25">
      <c r="A293" s="70" t="str">
        <f t="shared" si="4"/>
        <v/>
      </c>
    </row>
    <row r="294" spans="1:1" x14ac:dyDescent="0.25">
      <c r="A294" s="70" t="str">
        <f t="shared" si="4"/>
        <v/>
      </c>
    </row>
    <row r="295" spans="1:1" x14ac:dyDescent="0.25">
      <c r="A295" s="70" t="str">
        <f t="shared" si="4"/>
        <v/>
      </c>
    </row>
    <row r="296" spans="1:1" x14ac:dyDescent="0.25">
      <c r="A296" s="70" t="str">
        <f t="shared" si="4"/>
        <v/>
      </c>
    </row>
    <row r="297" spans="1:1" x14ac:dyDescent="0.25">
      <c r="A297" s="70" t="str">
        <f t="shared" si="4"/>
        <v/>
      </c>
    </row>
    <row r="298" spans="1:1" x14ac:dyDescent="0.25">
      <c r="A298" s="70" t="str">
        <f t="shared" si="4"/>
        <v/>
      </c>
    </row>
    <row r="299" spans="1:1" x14ac:dyDescent="0.25">
      <c r="A299" s="70" t="str">
        <f t="shared" si="4"/>
        <v/>
      </c>
    </row>
    <row r="300" spans="1:1" x14ac:dyDescent="0.25">
      <c r="A300" s="70" t="str">
        <f t="shared" si="4"/>
        <v/>
      </c>
    </row>
    <row r="301" spans="1:1" x14ac:dyDescent="0.25">
      <c r="A301" s="70" t="str">
        <f t="shared" si="4"/>
        <v/>
      </c>
    </row>
    <row r="302" spans="1:1" x14ac:dyDescent="0.25">
      <c r="A302" s="70" t="str">
        <f t="shared" si="4"/>
        <v/>
      </c>
    </row>
    <row r="303" spans="1:1" x14ac:dyDescent="0.25">
      <c r="A303" s="70" t="str">
        <f t="shared" si="4"/>
        <v/>
      </c>
    </row>
    <row r="304" spans="1:1" x14ac:dyDescent="0.25">
      <c r="A304" s="70" t="str">
        <f t="shared" si="4"/>
        <v/>
      </c>
    </row>
    <row r="305" spans="1:1" x14ac:dyDescent="0.25">
      <c r="A305" s="70" t="str">
        <f t="shared" si="4"/>
        <v/>
      </c>
    </row>
    <row r="306" spans="1:1" x14ac:dyDescent="0.25">
      <c r="A306" s="70" t="str">
        <f t="shared" si="4"/>
        <v/>
      </c>
    </row>
    <row r="307" spans="1:1" x14ac:dyDescent="0.25">
      <c r="A307" s="70" t="str">
        <f t="shared" si="4"/>
        <v/>
      </c>
    </row>
    <row r="308" spans="1:1" x14ac:dyDescent="0.25">
      <c r="A308" s="70" t="str">
        <f t="shared" si="4"/>
        <v/>
      </c>
    </row>
    <row r="309" spans="1:1" x14ac:dyDescent="0.25">
      <c r="A309" s="70" t="str">
        <f t="shared" si="4"/>
        <v/>
      </c>
    </row>
    <row r="310" spans="1:1" x14ac:dyDescent="0.25">
      <c r="A310" s="70" t="str">
        <f t="shared" si="4"/>
        <v/>
      </c>
    </row>
    <row r="311" spans="1:1" x14ac:dyDescent="0.25">
      <c r="A311" s="70" t="str">
        <f t="shared" si="4"/>
        <v/>
      </c>
    </row>
    <row r="312" spans="1:1" x14ac:dyDescent="0.25">
      <c r="A312" s="70" t="str">
        <f t="shared" si="4"/>
        <v/>
      </c>
    </row>
    <row r="313" spans="1:1" x14ac:dyDescent="0.25">
      <c r="A313" s="70" t="str">
        <f t="shared" si="4"/>
        <v/>
      </c>
    </row>
    <row r="314" spans="1:1" x14ac:dyDescent="0.25">
      <c r="A314" s="70" t="str">
        <f t="shared" si="4"/>
        <v/>
      </c>
    </row>
    <row r="315" spans="1:1" x14ac:dyDescent="0.25">
      <c r="A315" s="70" t="str">
        <f t="shared" si="4"/>
        <v/>
      </c>
    </row>
    <row r="316" spans="1:1" x14ac:dyDescent="0.25">
      <c r="A316" s="70" t="str">
        <f t="shared" si="4"/>
        <v/>
      </c>
    </row>
    <row r="317" spans="1:1" x14ac:dyDescent="0.25">
      <c r="A317" s="70" t="str">
        <f t="shared" si="4"/>
        <v/>
      </c>
    </row>
    <row r="318" spans="1:1" x14ac:dyDescent="0.25">
      <c r="A318" s="70" t="str">
        <f t="shared" si="4"/>
        <v/>
      </c>
    </row>
    <row r="319" spans="1:1" x14ac:dyDescent="0.25">
      <c r="A319" s="70" t="str">
        <f t="shared" si="4"/>
        <v/>
      </c>
    </row>
    <row r="320" spans="1:1" x14ac:dyDescent="0.25">
      <c r="A320" s="70" t="str">
        <f t="shared" si="4"/>
        <v/>
      </c>
    </row>
    <row r="321" spans="1:1" x14ac:dyDescent="0.25">
      <c r="A321" s="70" t="str">
        <f t="shared" si="4"/>
        <v/>
      </c>
    </row>
    <row r="322" spans="1:1" x14ac:dyDescent="0.25">
      <c r="A322" s="70" t="str">
        <f t="shared" si="4"/>
        <v/>
      </c>
    </row>
    <row r="323" spans="1:1" x14ac:dyDescent="0.25">
      <c r="A323" s="70" t="str">
        <f t="shared" si="4"/>
        <v/>
      </c>
    </row>
    <row r="324" spans="1:1" x14ac:dyDescent="0.25">
      <c r="A324" s="70" t="str">
        <f t="shared" si="4"/>
        <v/>
      </c>
    </row>
    <row r="325" spans="1:1" x14ac:dyDescent="0.25">
      <c r="A325" s="70" t="str">
        <f t="shared" ref="A325:A388" si="5">IF(B325&lt;&gt;"",A324+1,"")</f>
        <v/>
      </c>
    </row>
    <row r="326" spans="1:1" x14ac:dyDescent="0.25">
      <c r="A326" s="70" t="str">
        <f t="shared" si="5"/>
        <v/>
      </c>
    </row>
    <row r="327" spans="1:1" x14ac:dyDescent="0.25">
      <c r="A327" s="70" t="str">
        <f t="shared" si="5"/>
        <v/>
      </c>
    </row>
    <row r="328" spans="1:1" x14ac:dyDescent="0.25">
      <c r="A328" s="70" t="str">
        <f t="shared" si="5"/>
        <v/>
      </c>
    </row>
    <row r="329" spans="1:1" x14ac:dyDescent="0.25">
      <c r="A329" s="70" t="str">
        <f t="shared" si="5"/>
        <v/>
      </c>
    </row>
    <row r="330" spans="1:1" x14ac:dyDescent="0.25">
      <c r="A330" s="70" t="str">
        <f t="shared" si="5"/>
        <v/>
      </c>
    </row>
    <row r="331" spans="1:1" x14ac:dyDescent="0.25">
      <c r="A331" s="70" t="str">
        <f t="shared" si="5"/>
        <v/>
      </c>
    </row>
    <row r="332" spans="1:1" x14ac:dyDescent="0.25">
      <c r="A332" s="70" t="str">
        <f t="shared" si="5"/>
        <v/>
      </c>
    </row>
    <row r="333" spans="1:1" x14ac:dyDescent="0.25">
      <c r="A333" s="70" t="str">
        <f t="shared" si="5"/>
        <v/>
      </c>
    </row>
    <row r="334" spans="1:1" x14ac:dyDescent="0.25">
      <c r="A334" s="70" t="str">
        <f t="shared" si="5"/>
        <v/>
      </c>
    </row>
    <row r="335" spans="1:1" x14ac:dyDescent="0.25">
      <c r="A335" s="70" t="str">
        <f t="shared" si="5"/>
        <v/>
      </c>
    </row>
    <row r="336" spans="1:1" x14ac:dyDescent="0.25">
      <c r="A336" s="70" t="str">
        <f t="shared" si="5"/>
        <v/>
      </c>
    </row>
    <row r="337" spans="1:1" x14ac:dyDescent="0.25">
      <c r="A337" s="70" t="str">
        <f t="shared" si="5"/>
        <v/>
      </c>
    </row>
    <row r="338" spans="1:1" x14ac:dyDescent="0.25">
      <c r="A338" s="70" t="str">
        <f t="shared" si="5"/>
        <v/>
      </c>
    </row>
    <row r="339" spans="1:1" x14ac:dyDescent="0.25">
      <c r="A339" s="70" t="str">
        <f t="shared" si="5"/>
        <v/>
      </c>
    </row>
    <row r="340" spans="1:1" x14ac:dyDescent="0.25">
      <c r="A340" s="70" t="str">
        <f t="shared" si="5"/>
        <v/>
      </c>
    </row>
    <row r="341" spans="1:1" x14ac:dyDescent="0.25">
      <c r="A341" s="70" t="str">
        <f t="shared" si="5"/>
        <v/>
      </c>
    </row>
    <row r="342" spans="1:1" x14ac:dyDescent="0.25">
      <c r="A342" s="70" t="str">
        <f t="shared" si="5"/>
        <v/>
      </c>
    </row>
    <row r="343" spans="1:1" x14ac:dyDescent="0.25">
      <c r="A343" s="70" t="str">
        <f t="shared" si="5"/>
        <v/>
      </c>
    </row>
    <row r="344" spans="1:1" x14ac:dyDescent="0.25">
      <c r="A344" s="70" t="str">
        <f t="shared" si="5"/>
        <v/>
      </c>
    </row>
    <row r="345" spans="1:1" x14ac:dyDescent="0.25">
      <c r="A345" s="70" t="str">
        <f t="shared" si="5"/>
        <v/>
      </c>
    </row>
    <row r="346" spans="1:1" x14ac:dyDescent="0.25">
      <c r="A346" s="70" t="str">
        <f t="shared" si="5"/>
        <v/>
      </c>
    </row>
    <row r="347" spans="1:1" x14ac:dyDescent="0.25">
      <c r="A347" s="70" t="str">
        <f t="shared" si="5"/>
        <v/>
      </c>
    </row>
    <row r="348" spans="1:1" x14ac:dyDescent="0.25">
      <c r="A348" s="70" t="str">
        <f t="shared" si="5"/>
        <v/>
      </c>
    </row>
    <row r="349" spans="1:1" x14ac:dyDescent="0.25">
      <c r="A349" s="70" t="str">
        <f t="shared" si="5"/>
        <v/>
      </c>
    </row>
    <row r="350" spans="1:1" x14ac:dyDescent="0.25">
      <c r="A350" s="70" t="str">
        <f t="shared" si="5"/>
        <v/>
      </c>
    </row>
    <row r="351" spans="1:1" x14ac:dyDescent="0.25">
      <c r="A351" s="70" t="str">
        <f t="shared" si="5"/>
        <v/>
      </c>
    </row>
    <row r="352" spans="1:1" x14ac:dyDescent="0.25">
      <c r="A352" s="70" t="str">
        <f t="shared" si="5"/>
        <v/>
      </c>
    </row>
    <row r="353" spans="1:1" x14ac:dyDescent="0.25">
      <c r="A353" s="70" t="str">
        <f t="shared" si="5"/>
        <v/>
      </c>
    </row>
    <row r="354" spans="1:1" x14ac:dyDescent="0.25">
      <c r="A354" s="70" t="str">
        <f t="shared" si="5"/>
        <v/>
      </c>
    </row>
    <row r="355" spans="1:1" x14ac:dyDescent="0.25">
      <c r="A355" s="70" t="str">
        <f t="shared" si="5"/>
        <v/>
      </c>
    </row>
    <row r="356" spans="1:1" x14ac:dyDescent="0.25">
      <c r="A356" s="70" t="str">
        <f t="shared" si="5"/>
        <v/>
      </c>
    </row>
    <row r="357" spans="1:1" x14ac:dyDescent="0.25">
      <c r="A357" s="70" t="str">
        <f t="shared" si="5"/>
        <v/>
      </c>
    </row>
    <row r="358" spans="1:1" x14ac:dyDescent="0.25">
      <c r="A358" s="70" t="str">
        <f t="shared" si="5"/>
        <v/>
      </c>
    </row>
    <row r="359" spans="1:1" x14ac:dyDescent="0.25">
      <c r="A359" s="70" t="str">
        <f t="shared" si="5"/>
        <v/>
      </c>
    </row>
    <row r="360" spans="1:1" x14ac:dyDescent="0.25">
      <c r="A360" s="70" t="str">
        <f t="shared" si="5"/>
        <v/>
      </c>
    </row>
    <row r="361" spans="1:1" x14ac:dyDescent="0.25">
      <c r="A361" s="70" t="str">
        <f t="shared" si="5"/>
        <v/>
      </c>
    </row>
    <row r="362" spans="1:1" x14ac:dyDescent="0.25">
      <c r="A362" s="70" t="str">
        <f t="shared" si="5"/>
        <v/>
      </c>
    </row>
    <row r="363" spans="1:1" x14ac:dyDescent="0.25">
      <c r="A363" s="70" t="str">
        <f t="shared" si="5"/>
        <v/>
      </c>
    </row>
    <row r="364" spans="1:1" x14ac:dyDescent="0.25">
      <c r="A364" s="70" t="str">
        <f t="shared" si="5"/>
        <v/>
      </c>
    </row>
    <row r="365" spans="1:1" x14ac:dyDescent="0.25">
      <c r="A365" s="70" t="str">
        <f t="shared" si="5"/>
        <v/>
      </c>
    </row>
    <row r="366" spans="1:1" x14ac:dyDescent="0.25">
      <c r="A366" s="70" t="str">
        <f t="shared" si="5"/>
        <v/>
      </c>
    </row>
    <row r="367" spans="1:1" x14ac:dyDescent="0.25">
      <c r="A367" s="70" t="str">
        <f t="shared" si="5"/>
        <v/>
      </c>
    </row>
    <row r="368" spans="1:1" x14ac:dyDescent="0.25">
      <c r="A368" s="70" t="str">
        <f t="shared" si="5"/>
        <v/>
      </c>
    </row>
    <row r="369" spans="1:1" x14ac:dyDescent="0.25">
      <c r="A369" s="70" t="str">
        <f t="shared" si="5"/>
        <v/>
      </c>
    </row>
    <row r="370" spans="1:1" x14ac:dyDescent="0.25">
      <c r="A370" s="70" t="str">
        <f t="shared" si="5"/>
        <v/>
      </c>
    </row>
    <row r="371" spans="1:1" x14ac:dyDescent="0.25">
      <c r="A371" s="70" t="str">
        <f t="shared" si="5"/>
        <v/>
      </c>
    </row>
    <row r="372" spans="1:1" x14ac:dyDescent="0.25">
      <c r="A372" s="70" t="str">
        <f t="shared" si="5"/>
        <v/>
      </c>
    </row>
    <row r="373" spans="1:1" x14ac:dyDescent="0.25">
      <c r="A373" s="70" t="str">
        <f t="shared" si="5"/>
        <v/>
      </c>
    </row>
    <row r="374" spans="1:1" x14ac:dyDescent="0.25">
      <c r="A374" s="70" t="str">
        <f t="shared" si="5"/>
        <v/>
      </c>
    </row>
    <row r="375" spans="1:1" x14ac:dyDescent="0.25">
      <c r="A375" s="70" t="str">
        <f t="shared" si="5"/>
        <v/>
      </c>
    </row>
    <row r="376" spans="1:1" x14ac:dyDescent="0.25">
      <c r="A376" s="70" t="str">
        <f t="shared" si="5"/>
        <v/>
      </c>
    </row>
    <row r="377" spans="1:1" x14ac:dyDescent="0.25">
      <c r="A377" s="70" t="str">
        <f t="shared" si="5"/>
        <v/>
      </c>
    </row>
    <row r="378" spans="1:1" x14ac:dyDescent="0.25">
      <c r="A378" s="70" t="str">
        <f t="shared" si="5"/>
        <v/>
      </c>
    </row>
    <row r="379" spans="1:1" x14ac:dyDescent="0.25">
      <c r="A379" s="70" t="str">
        <f t="shared" si="5"/>
        <v/>
      </c>
    </row>
    <row r="380" spans="1:1" x14ac:dyDescent="0.25">
      <c r="A380" s="70" t="str">
        <f t="shared" si="5"/>
        <v/>
      </c>
    </row>
    <row r="381" spans="1:1" x14ac:dyDescent="0.25">
      <c r="A381" s="70" t="str">
        <f t="shared" si="5"/>
        <v/>
      </c>
    </row>
    <row r="382" spans="1:1" x14ac:dyDescent="0.25">
      <c r="A382" s="70" t="str">
        <f t="shared" si="5"/>
        <v/>
      </c>
    </row>
    <row r="383" spans="1:1" x14ac:dyDescent="0.25">
      <c r="A383" s="70" t="str">
        <f t="shared" si="5"/>
        <v/>
      </c>
    </row>
    <row r="384" spans="1:1" x14ac:dyDescent="0.25">
      <c r="A384" s="70" t="str">
        <f t="shared" si="5"/>
        <v/>
      </c>
    </row>
    <row r="385" spans="1:1" x14ac:dyDescent="0.25">
      <c r="A385" s="70" t="str">
        <f t="shared" si="5"/>
        <v/>
      </c>
    </row>
    <row r="386" spans="1:1" x14ac:dyDescent="0.25">
      <c r="A386" s="70" t="str">
        <f t="shared" si="5"/>
        <v/>
      </c>
    </row>
    <row r="387" spans="1:1" x14ac:dyDescent="0.25">
      <c r="A387" s="70" t="str">
        <f t="shared" si="5"/>
        <v/>
      </c>
    </row>
    <row r="388" spans="1:1" x14ac:dyDescent="0.25">
      <c r="A388" s="70" t="str">
        <f t="shared" si="5"/>
        <v/>
      </c>
    </row>
    <row r="389" spans="1:1" x14ac:dyDescent="0.25">
      <c r="A389" s="70" t="str">
        <f t="shared" ref="A389:A448" si="6">IF(B389&lt;&gt;"",A388+1,"")</f>
        <v/>
      </c>
    </row>
    <row r="390" spans="1:1" x14ac:dyDescent="0.25">
      <c r="A390" s="70" t="str">
        <f t="shared" si="6"/>
        <v/>
      </c>
    </row>
    <row r="391" spans="1:1" x14ac:dyDescent="0.25">
      <c r="A391" s="70" t="str">
        <f t="shared" si="6"/>
        <v/>
      </c>
    </row>
    <row r="392" spans="1:1" x14ac:dyDescent="0.25">
      <c r="A392" s="70" t="str">
        <f t="shared" si="6"/>
        <v/>
      </c>
    </row>
    <row r="393" spans="1:1" x14ac:dyDescent="0.25">
      <c r="A393" s="70" t="str">
        <f t="shared" si="6"/>
        <v/>
      </c>
    </row>
    <row r="394" spans="1:1" x14ac:dyDescent="0.25">
      <c r="A394" s="70" t="str">
        <f t="shared" si="6"/>
        <v/>
      </c>
    </row>
    <row r="395" spans="1:1" x14ac:dyDescent="0.25">
      <c r="A395" s="70" t="str">
        <f t="shared" si="6"/>
        <v/>
      </c>
    </row>
    <row r="396" spans="1:1" x14ac:dyDescent="0.25">
      <c r="A396" s="70" t="str">
        <f t="shared" si="6"/>
        <v/>
      </c>
    </row>
    <row r="397" spans="1:1" x14ac:dyDescent="0.25">
      <c r="A397" s="70" t="str">
        <f t="shared" si="6"/>
        <v/>
      </c>
    </row>
    <row r="398" spans="1:1" x14ac:dyDescent="0.25">
      <c r="A398" s="70" t="str">
        <f t="shared" si="6"/>
        <v/>
      </c>
    </row>
    <row r="399" spans="1:1" x14ac:dyDescent="0.25">
      <c r="A399" s="70" t="str">
        <f t="shared" si="6"/>
        <v/>
      </c>
    </row>
    <row r="400" spans="1:1" x14ac:dyDescent="0.25">
      <c r="A400" s="70" t="str">
        <f t="shared" si="6"/>
        <v/>
      </c>
    </row>
    <row r="401" spans="1:1" x14ac:dyDescent="0.25">
      <c r="A401" s="70" t="str">
        <f t="shared" si="6"/>
        <v/>
      </c>
    </row>
    <row r="402" spans="1:1" x14ac:dyDescent="0.25">
      <c r="A402" s="70" t="str">
        <f t="shared" si="6"/>
        <v/>
      </c>
    </row>
    <row r="403" spans="1:1" x14ac:dyDescent="0.25">
      <c r="A403" s="70" t="str">
        <f t="shared" si="6"/>
        <v/>
      </c>
    </row>
    <row r="404" spans="1:1" x14ac:dyDescent="0.25">
      <c r="A404" s="70" t="str">
        <f t="shared" si="6"/>
        <v/>
      </c>
    </row>
    <row r="405" spans="1:1" x14ac:dyDescent="0.25">
      <c r="A405" s="70" t="str">
        <f t="shared" si="6"/>
        <v/>
      </c>
    </row>
    <row r="406" spans="1:1" x14ac:dyDescent="0.25">
      <c r="A406" s="70" t="str">
        <f t="shared" si="6"/>
        <v/>
      </c>
    </row>
    <row r="407" spans="1:1" x14ac:dyDescent="0.25">
      <c r="A407" s="70" t="str">
        <f t="shared" si="6"/>
        <v/>
      </c>
    </row>
    <row r="408" spans="1:1" x14ac:dyDescent="0.25">
      <c r="A408" s="70" t="str">
        <f t="shared" si="6"/>
        <v/>
      </c>
    </row>
    <row r="409" spans="1:1" x14ac:dyDescent="0.25">
      <c r="A409" s="70" t="str">
        <f t="shared" si="6"/>
        <v/>
      </c>
    </row>
    <row r="410" spans="1:1" x14ac:dyDescent="0.25">
      <c r="A410" s="70" t="str">
        <f t="shared" si="6"/>
        <v/>
      </c>
    </row>
    <row r="411" spans="1:1" x14ac:dyDescent="0.25">
      <c r="A411" s="70" t="str">
        <f t="shared" si="6"/>
        <v/>
      </c>
    </row>
    <row r="412" spans="1:1" x14ac:dyDescent="0.25">
      <c r="A412" s="70" t="str">
        <f t="shared" si="6"/>
        <v/>
      </c>
    </row>
    <row r="413" spans="1:1" x14ac:dyDescent="0.25">
      <c r="A413" s="70" t="str">
        <f t="shared" si="6"/>
        <v/>
      </c>
    </row>
    <row r="414" spans="1:1" x14ac:dyDescent="0.25">
      <c r="A414" s="70" t="str">
        <f t="shared" si="6"/>
        <v/>
      </c>
    </row>
    <row r="415" spans="1:1" x14ac:dyDescent="0.25">
      <c r="A415" s="70" t="str">
        <f t="shared" si="6"/>
        <v/>
      </c>
    </row>
    <row r="416" spans="1:1" x14ac:dyDescent="0.25">
      <c r="A416" s="70" t="str">
        <f t="shared" si="6"/>
        <v/>
      </c>
    </row>
    <row r="417" spans="1:1" x14ac:dyDescent="0.25">
      <c r="A417" s="70" t="str">
        <f t="shared" si="6"/>
        <v/>
      </c>
    </row>
    <row r="418" spans="1:1" x14ac:dyDescent="0.25">
      <c r="A418" s="70" t="str">
        <f t="shared" si="6"/>
        <v/>
      </c>
    </row>
    <row r="419" spans="1:1" x14ac:dyDescent="0.25">
      <c r="A419" s="70" t="str">
        <f t="shared" si="6"/>
        <v/>
      </c>
    </row>
    <row r="420" spans="1:1" x14ac:dyDescent="0.25">
      <c r="A420" s="70" t="str">
        <f t="shared" si="6"/>
        <v/>
      </c>
    </row>
    <row r="421" spans="1:1" x14ac:dyDescent="0.25">
      <c r="A421" s="70" t="str">
        <f t="shared" si="6"/>
        <v/>
      </c>
    </row>
    <row r="422" spans="1:1" x14ac:dyDescent="0.25">
      <c r="A422" s="70" t="str">
        <f t="shared" si="6"/>
        <v/>
      </c>
    </row>
    <row r="423" spans="1:1" x14ac:dyDescent="0.25">
      <c r="A423" s="70" t="str">
        <f t="shared" si="6"/>
        <v/>
      </c>
    </row>
    <row r="424" spans="1:1" x14ac:dyDescent="0.25">
      <c r="A424" s="70" t="str">
        <f t="shared" si="6"/>
        <v/>
      </c>
    </row>
    <row r="425" spans="1:1" x14ac:dyDescent="0.25">
      <c r="A425" s="70" t="str">
        <f t="shared" si="6"/>
        <v/>
      </c>
    </row>
    <row r="426" spans="1:1" x14ac:dyDescent="0.25">
      <c r="A426" s="70" t="str">
        <f t="shared" si="6"/>
        <v/>
      </c>
    </row>
    <row r="427" spans="1:1" x14ac:dyDescent="0.25">
      <c r="A427" s="70" t="str">
        <f t="shared" si="6"/>
        <v/>
      </c>
    </row>
    <row r="428" spans="1:1" x14ac:dyDescent="0.25">
      <c r="A428" s="70" t="str">
        <f t="shared" si="6"/>
        <v/>
      </c>
    </row>
    <row r="429" spans="1:1" x14ac:dyDescent="0.25">
      <c r="A429" s="70" t="str">
        <f t="shared" si="6"/>
        <v/>
      </c>
    </row>
    <row r="430" spans="1:1" x14ac:dyDescent="0.25">
      <c r="A430" s="70" t="str">
        <f t="shared" si="6"/>
        <v/>
      </c>
    </row>
    <row r="431" spans="1:1" x14ac:dyDescent="0.25">
      <c r="A431" s="70" t="str">
        <f t="shared" si="6"/>
        <v/>
      </c>
    </row>
    <row r="432" spans="1:1" x14ac:dyDescent="0.25">
      <c r="A432" s="70" t="str">
        <f t="shared" si="6"/>
        <v/>
      </c>
    </row>
    <row r="433" spans="1:1" x14ac:dyDescent="0.25">
      <c r="A433" s="70" t="str">
        <f t="shared" si="6"/>
        <v/>
      </c>
    </row>
    <row r="434" spans="1:1" x14ac:dyDescent="0.25">
      <c r="A434" s="70" t="str">
        <f t="shared" si="6"/>
        <v/>
      </c>
    </row>
    <row r="435" spans="1:1" x14ac:dyDescent="0.25">
      <c r="A435" s="57" t="str">
        <f t="shared" si="6"/>
        <v/>
      </c>
    </row>
    <row r="436" spans="1:1" x14ac:dyDescent="0.25">
      <c r="A436" s="57" t="str">
        <f t="shared" si="6"/>
        <v/>
      </c>
    </row>
    <row r="437" spans="1:1" x14ac:dyDescent="0.25">
      <c r="A437" s="57" t="str">
        <f t="shared" si="6"/>
        <v/>
      </c>
    </row>
    <row r="438" spans="1:1" x14ac:dyDescent="0.25">
      <c r="A438" s="57" t="str">
        <f t="shared" si="6"/>
        <v/>
      </c>
    </row>
    <row r="439" spans="1:1" x14ac:dyDescent="0.25">
      <c r="A439" s="57" t="str">
        <f t="shared" si="6"/>
        <v/>
      </c>
    </row>
    <row r="440" spans="1:1" x14ac:dyDescent="0.25">
      <c r="A440" s="57" t="str">
        <f t="shared" si="6"/>
        <v/>
      </c>
    </row>
    <row r="441" spans="1:1" x14ac:dyDescent="0.25">
      <c r="A441" s="57" t="str">
        <f t="shared" si="6"/>
        <v/>
      </c>
    </row>
    <row r="442" spans="1:1" x14ac:dyDescent="0.25">
      <c r="A442" s="57" t="str">
        <f t="shared" si="6"/>
        <v/>
      </c>
    </row>
    <row r="443" spans="1:1" x14ac:dyDescent="0.25">
      <c r="A443" s="57" t="str">
        <f t="shared" si="6"/>
        <v/>
      </c>
    </row>
    <row r="444" spans="1:1" x14ac:dyDescent="0.25">
      <c r="A444" s="57" t="str">
        <f t="shared" si="6"/>
        <v/>
      </c>
    </row>
    <row r="445" spans="1:1" x14ac:dyDescent="0.25">
      <c r="A445" s="57" t="str">
        <f t="shared" si="6"/>
        <v/>
      </c>
    </row>
    <row r="446" spans="1:1" x14ac:dyDescent="0.25">
      <c r="A446" s="57" t="str">
        <f t="shared" si="6"/>
        <v/>
      </c>
    </row>
    <row r="447" spans="1:1" x14ac:dyDescent="0.25">
      <c r="A447" s="57" t="str">
        <f t="shared" si="6"/>
        <v/>
      </c>
    </row>
    <row r="448" spans="1:1" x14ac:dyDescent="0.25">
      <c r="A448" s="57" t="str">
        <f t="shared" si="6"/>
        <v/>
      </c>
    </row>
  </sheetData>
  <sheetProtection sheet="1" objects="1" scenarios="1"/>
  <pageMargins left="0.7" right="0.7" top="0.78740157499999996" bottom="0.78740157499999996" header="0.3" footer="0.3"/>
  <pageSetup paperSize="9" orientation="portrait" horizontalDpi="300" r:id="rId1"/>
  <ignoredErrors>
    <ignoredError sqref="A4:A448"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M36"/>
  <sheetViews>
    <sheetView topLeftCell="A16" zoomScaleNormal="100" zoomScaleSheetLayoutView="130" workbookViewId="0">
      <selection activeCell="A19" sqref="A19:I19"/>
    </sheetView>
  </sheetViews>
  <sheetFormatPr baseColWidth="10" defaultRowHeight="15" x14ac:dyDescent="0.25"/>
  <cols>
    <col min="8" max="8" width="12.28515625" customWidth="1"/>
    <col min="9" max="9" width="7.5703125" customWidth="1"/>
  </cols>
  <sheetData>
    <row r="1" spans="1:13" ht="21" x14ac:dyDescent="0.35">
      <c r="A1" s="3" t="s">
        <v>21</v>
      </c>
    </row>
    <row r="2" spans="1:13" x14ac:dyDescent="0.25">
      <c r="A2" t="s">
        <v>22</v>
      </c>
    </row>
    <row r="3" spans="1:13" ht="18.75" x14ac:dyDescent="0.3">
      <c r="A3" s="4" t="s">
        <v>23</v>
      </c>
    </row>
    <row r="4" spans="1:13" x14ac:dyDescent="0.25">
      <c r="G4" s="38" t="s">
        <v>24</v>
      </c>
    </row>
    <row r="5" spans="1:13" ht="24.75" customHeight="1" x14ac:dyDescent="0.25">
      <c r="A5" s="88" t="s">
        <v>25</v>
      </c>
      <c r="B5" s="88"/>
      <c r="C5" s="88"/>
      <c r="D5" s="88"/>
      <c r="E5" s="88"/>
      <c r="F5" s="88"/>
      <c r="G5" s="5" t="s">
        <v>74</v>
      </c>
      <c r="H5" s="37">
        <f>Eingabetabelle!Q3</f>
        <v>0</v>
      </c>
    </row>
    <row r="6" spans="1:13" x14ac:dyDescent="0.25">
      <c r="G6" s="5" t="s">
        <v>26</v>
      </c>
      <c r="H6" s="5" t="s">
        <v>27</v>
      </c>
    </row>
    <row r="7" spans="1:13" x14ac:dyDescent="0.25">
      <c r="A7" t="s">
        <v>28</v>
      </c>
      <c r="G7" s="5" t="s">
        <v>29</v>
      </c>
      <c r="H7" s="5" t="s">
        <v>30</v>
      </c>
    </row>
    <row r="8" spans="1:13" x14ac:dyDescent="0.25">
      <c r="A8" t="str">
        <f ca="1">IF((DATEDIF(Geburtsdatum, TODAY(),"Y")&lt;18),Erziehungsberechtigte,Vorname&amp;" "&amp;Nachname)</f>
        <v xml:space="preserve"> </v>
      </c>
      <c r="G8" s="5" t="s">
        <v>31</v>
      </c>
      <c r="H8" s="5" t="s">
        <v>32</v>
      </c>
    </row>
    <row r="9" spans="1:13" x14ac:dyDescent="0.25">
      <c r="A9" t="str">
        <f>Strasse&amp;" "&amp;Hausnummer</f>
        <v xml:space="preserve"> </v>
      </c>
      <c r="G9" s="5"/>
      <c r="H9" s="5" t="s">
        <v>33</v>
      </c>
    </row>
    <row r="10" spans="1:13" ht="36" customHeight="1" x14ac:dyDescent="0.25">
      <c r="A10" s="19" t="str">
        <f>Ort&amp;" Berlin"</f>
        <v xml:space="preserve"> Berlin</v>
      </c>
      <c r="G10" s="5"/>
      <c r="H10" s="88" t="s">
        <v>34</v>
      </c>
      <c r="I10" s="88"/>
    </row>
    <row r="11" spans="1:13" x14ac:dyDescent="0.25">
      <c r="G11" s="5" t="s">
        <v>35</v>
      </c>
      <c r="H11" s="5" t="s">
        <v>36</v>
      </c>
      <c r="M11" s="33"/>
    </row>
    <row r="12" spans="1:13" x14ac:dyDescent="0.25">
      <c r="C12" s="22"/>
      <c r="G12" s="5"/>
      <c r="H12" s="5" t="s">
        <v>37</v>
      </c>
    </row>
    <row r="13" spans="1:13" x14ac:dyDescent="0.25">
      <c r="G13" s="5"/>
      <c r="H13" s="5"/>
    </row>
    <row r="14" spans="1:13" x14ac:dyDescent="0.25">
      <c r="G14" s="6" t="s">
        <v>38</v>
      </c>
      <c r="H14" s="21">
        <f ca="1">Datum</f>
        <v>43923</v>
      </c>
    </row>
    <row r="15" spans="1:13" x14ac:dyDescent="0.25">
      <c r="A15" s="2" t="str">
        <f>"Empfehlung einer sozialen Isolierung bis zum "&amp;TEXT(Quarantaeneende,"TT.MM.JJJJ")&amp;" für "&amp;Vorname&amp;" "&amp;Nachname&amp;" * " &amp; TEXT(IF(Geburtsdatum="","Geburtsdatum nicht bekannt",Geburtsdatum),"TT.MM.JJJJ")</f>
        <v>Empfehlung einer sozialen Isolierung bis zum 00.01.1900 für   * Geburtsdatum nicht bekannt</v>
      </c>
      <c r="E15" s="2"/>
      <c r="K15" s="33"/>
    </row>
    <row r="17" spans="1:9" x14ac:dyDescent="0.25">
      <c r="A17" t="str">
        <f>IF(Anrede="Sehr geehrte Familie",Anrede&amp;",",Anrede&amp;" "&amp;Nachname&amp;",")</f>
        <v>Sehr geehrte Frau  ,</v>
      </c>
    </row>
    <row r="19" spans="1:9" ht="40.5" customHeight="1" x14ac:dyDescent="0.25">
      <c r="A19" s="86" t="str">
        <f ca="1">"bei uns ist die Meldung eingegangen, dass " &amp; AnredeText &amp; " gefährdet " &amp; Verbtext &amp; ",  den neuartigen Coronavirus (SARS-CoV-2) weiterzuverbreiten."</f>
        <v>bei uns ist die Meldung eingegangen, dass Sie gefährdet sind,  den neuartigen Coronavirus (SARS-CoV-2) weiterzuverbreiten.</v>
      </c>
      <c r="B19" s="86"/>
      <c r="C19" s="86"/>
      <c r="D19" s="86"/>
      <c r="E19" s="86"/>
      <c r="F19" s="86"/>
      <c r="G19" s="86"/>
      <c r="H19" s="86"/>
      <c r="I19" s="86"/>
    </row>
    <row r="20" spans="1:9" ht="58.5" customHeight="1" x14ac:dyDescent="0.25">
      <c r="A20" s="90" t="str">
        <f>IF(Rückruf="ja","Bitte setzen Sie sich schnellstmöglich mit uns telefonisch in Verbindung unter der Tel.-Nr.: 90294-5500! 
Unsere Sprechzeiten sind von Montag bis Freitag 08.00 - 16.00 Uhr, Samstag, Sonntag und Feiertag 
von 09.00 - 15.00 Uhr.","")</f>
        <v/>
      </c>
      <c r="B20" s="90"/>
      <c r="C20" s="90"/>
      <c r="D20" s="90"/>
      <c r="E20" s="90"/>
      <c r="F20" s="90"/>
      <c r="G20" s="90"/>
      <c r="H20" s="90"/>
      <c r="I20" s="90"/>
    </row>
    <row r="21" spans="1:9" ht="62.25" customHeight="1" x14ac:dyDescent="0.25">
      <c r="A21" s="89" t="str">
        <f>"Sachverhalt: "&amp;Begründung&amp;""</f>
        <v xml:space="preserve">Sachverhalt: </v>
      </c>
      <c r="B21" s="86"/>
      <c r="C21" s="86"/>
      <c r="D21" s="86"/>
      <c r="E21" s="86"/>
      <c r="F21" s="86"/>
      <c r="G21" s="86"/>
      <c r="H21" s="86"/>
      <c r="I21" s="86"/>
    </row>
    <row r="22" spans="1:9" ht="32.25" customHeight="1" x14ac:dyDescent="0.25">
      <c r="A22" s="86" t="s">
        <v>257</v>
      </c>
      <c r="B22" s="86"/>
      <c r="C22" s="86"/>
      <c r="D22" s="86"/>
      <c r="E22" s="86"/>
      <c r="F22" s="86"/>
      <c r="G22" s="86"/>
      <c r="H22" s="86"/>
      <c r="I22" s="86"/>
    </row>
    <row r="24" spans="1:9" ht="30.75" customHeight="1" x14ac:dyDescent="0.25">
      <c r="A24" s="87" t="str">
        <f>"1. "&amp;Vorname&amp;" "&amp;Nachname &amp;" soll abgesondert von anderen Personen bleiben und soll keinen Besuch in der Wohnung empfangen. "</f>
        <v xml:space="preserve">1.   soll abgesondert von anderen Personen bleiben und soll keinen Besuch in der Wohnung empfangen. </v>
      </c>
      <c r="B24" s="87"/>
      <c r="C24" s="87"/>
      <c r="D24" s="87"/>
      <c r="E24" s="87"/>
      <c r="F24" s="87"/>
      <c r="G24" s="87"/>
      <c r="H24" s="87"/>
      <c r="I24" s="87"/>
    </row>
    <row r="25" spans="1:9" ht="30" customHeight="1" x14ac:dyDescent="0.25">
      <c r="A25" s="86" t="s">
        <v>87</v>
      </c>
      <c r="B25" s="86"/>
      <c r="C25" s="86"/>
      <c r="D25" s="86"/>
      <c r="E25" s="86"/>
      <c r="F25" s="86"/>
      <c r="G25" s="86"/>
      <c r="H25" s="86"/>
      <c r="I25" s="86"/>
    </row>
    <row r="26" spans="1:9" x14ac:dyDescent="0.25">
      <c r="A26" s="7" t="s">
        <v>41</v>
      </c>
    </row>
    <row r="27" spans="1:9" ht="30" customHeight="1" x14ac:dyDescent="0.25">
      <c r="A27" s="91" t="s">
        <v>42</v>
      </c>
      <c r="B27" s="91"/>
      <c r="C27" s="91"/>
      <c r="D27" s="91"/>
      <c r="E27" s="91"/>
      <c r="F27" s="91"/>
      <c r="G27" s="91"/>
      <c r="H27" s="91"/>
      <c r="I27" s="91"/>
    </row>
    <row r="29" spans="1:9" ht="28.9" customHeight="1" x14ac:dyDescent="0.25">
      <c r="A29" s="86" t="s">
        <v>86</v>
      </c>
      <c r="B29" s="86"/>
      <c r="C29" s="86"/>
      <c r="D29" s="86"/>
      <c r="E29" s="86"/>
      <c r="F29" s="86"/>
      <c r="G29" s="86"/>
      <c r="H29" s="86"/>
      <c r="I29" s="86"/>
    </row>
    <row r="31" spans="1:9" ht="47.25" customHeight="1" x14ac:dyDescent="0.25">
      <c r="A31" s="86" t="s">
        <v>258</v>
      </c>
      <c r="B31" s="86"/>
      <c r="C31" s="86"/>
      <c r="D31" s="86"/>
      <c r="E31" s="86"/>
      <c r="F31" s="86"/>
      <c r="G31" s="86"/>
      <c r="H31" s="86"/>
      <c r="I31" s="86"/>
    </row>
    <row r="33" spans="1:1" x14ac:dyDescent="0.25">
      <c r="A33" t="s">
        <v>51</v>
      </c>
    </row>
    <row r="36" spans="1:1" x14ac:dyDescent="0.25">
      <c r="A36" t="s">
        <v>286</v>
      </c>
    </row>
  </sheetData>
  <mergeCells count="11">
    <mergeCell ref="A29:I29"/>
    <mergeCell ref="A31:I31"/>
    <mergeCell ref="A22:I22"/>
    <mergeCell ref="A24:I24"/>
    <mergeCell ref="A5:F5"/>
    <mergeCell ref="H10:I10"/>
    <mergeCell ref="A19:I19"/>
    <mergeCell ref="A21:I21"/>
    <mergeCell ref="A20:I20"/>
    <mergeCell ref="A25:I25"/>
    <mergeCell ref="A27:I27"/>
  </mergeCells>
  <pageMargins left="0.7" right="0.7" top="0.78740157499999996" bottom="0.78740157499999996" header="0.3" footer="0.3"/>
  <pageSetup paperSize="9"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I101"/>
  <sheetViews>
    <sheetView zoomScale="140" zoomScaleNormal="140" zoomScaleSheetLayoutView="130" workbookViewId="0">
      <selection activeCell="A94" sqref="A94:H94"/>
    </sheetView>
  </sheetViews>
  <sheetFormatPr baseColWidth="10" defaultRowHeight="15" x14ac:dyDescent="0.25"/>
  <cols>
    <col min="9" max="9" width="8.42578125" customWidth="1"/>
  </cols>
  <sheetData>
    <row r="1" spans="1:9" ht="21" x14ac:dyDescent="0.35">
      <c r="A1" s="3" t="s">
        <v>21</v>
      </c>
    </row>
    <row r="2" spans="1:9" x14ac:dyDescent="0.25">
      <c r="A2" t="s">
        <v>22</v>
      </c>
    </row>
    <row r="3" spans="1:9" ht="18.75" x14ac:dyDescent="0.3">
      <c r="A3" s="4" t="s">
        <v>23</v>
      </c>
    </row>
    <row r="4" spans="1:9" x14ac:dyDescent="0.25">
      <c r="G4" s="38" t="s">
        <v>24</v>
      </c>
    </row>
    <row r="5" spans="1:9" ht="24.75" customHeight="1" x14ac:dyDescent="0.25">
      <c r="A5" s="88" t="s">
        <v>25</v>
      </c>
      <c r="B5" s="88"/>
      <c r="C5" s="88"/>
      <c r="D5" s="88"/>
      <c r="E5" s="88"/>
      <c r="F5" s="88"/>
      <c r="G5" s="5" t="s">
        <v>74</v>
      </c>
      <c r="H5" s="38">
        <f>Eingabetabelle!Q3</f>
        <v>0</v>
      </c>
    </row>
    <row r="6" spans="1:9" x14ac:dyDescent="0.25">
      <c r="G6" s="5" t="s">
        <v>26</v>
      </c>
      <c r="H6" s="5" t="s">
        <v>27</v>
      </c>
    </row>
    <row r="7" spans="1:9" x14ac:dyDescent="0.25">
      <c r="A7" t="s">
        <v>28</v>
      </c>
      <c r="G7" s="5" t="s">
        <v>29</v>
      </c>
      <c r="H7" s="5" t="s">
        <v>30</v>
      </c>
    </row>
    <row r="8" spans="1:9" x14ac:dyDescent="0.25">
      <c r="A8" t="str">
        <f ca="1">IF((DATEDIF(Geburtsdatum, TODAY(),"Y")&lt;18),Erziehungsberechtigte,Vorname&amp;" "&amp;Nachname)</f>
        <v xml:space="preserve"> </v>
      </c>
      <c r="G8" s="5" t="s">
        <v>31</v>
      </c>
      <c r="H8" s="5" t="s">
        <v>32</v>
      </c>
    </row>
    <row r="9" spans="1:9" x14ac:dyDescent="0.25">
      <c r="A9" t="str">
        <f>Strasse&amp;" "&amp;Hausnummer</f>
        <v xml:space="preserve"> </v>
      </c>
      <c r="G9" s="5"/>
      <c r="H9" s="5" t="s">
        <v>33</v>
      </c>
    </row>
    <row r="10" spans="1:9" ht="36" customHeight="1" x14ac:dyDescent="0.25">
      <c r="A10" s="19" t="str">
        <f>Ort&amp;" Berlin"</f>
        <v xml:space="preserve"> Berlin</v>
      </c>
      <c r="G10" s="5"/>
      <c r="H10" s="88" t="s">
        <v>34</v>
      </c>
      <c r="I10" s="88"/>
    </row>
    <row r="11" spans="1:9" x14ac:dyDescent="0.25">
      <c r="G11" s="5" t="s">
        <v>35</v>
      </c>
      <c r="H11" s="5" t="s">
        <v>36</v>
      </c>
    </row>
    <row r="12" spans="1:9" x14ac:dyDescent="0.25">
      <c r="G12" s="5"/>
      <c r="H12" s="5" t="s">
        <v>37</v>
      </c>
    </row>
    <row r="13" spans="1:9" ht="12" customHeight="1" x14ac:dyDescent="0.25">
      <c r="G13" s="5"/>
      <c r="H13" s="5"/>
    </row>
    <row r="14" spans="1:9" x14ac:dyDescent="0.25">
      <c r="G14" s="6" t="s">
        <v>38</v>
      </c>
      <c r="H14" s="21">
        <f ca="1">Datum</f>
        <v>43923</v>
      </c>
    </row>
    <row r="15" spans="1:9" x14ac:dyDescent="0.25">
      <c r="A15" s="2" t="str">
        <f>"Anordnung der Absonderung (Quarantäne) für "&amp;Vorname&amp;" "&amp;Nachname&amp;" * " &amp; TEXT(IF(Geburtsdatum="","Geburtsdatum nicht bekannt",Geburtsdatum),"TT.MM.JJJJ")</f>
        <v>Anordnung der Absonderung (Quarantäne) für   * Geburtsdatum nicht bekannt</v>
      </c>
      <c r="E15" s="2"/>
    </row>
    <row r="17" spans="1:9" x14ac:dyDescent="0.25">
      <c r="A17" t="str">
        <f>IF(Anrede="Sehr geehrte Familie",Anrede&amp;",",Anrede&amp;" "&amp;Nachname&amp;",")</f>
        <v>Sehr geehrte Frau  ,</v>
      </c>
      <c r="C17" s="33"/>
    </row>
    <row r="18" spans="1:9" ht="11.45" customHeight="1" x14ac:dyDescent="0.25"/>
    <row r="19" spans="1:9" ht="45.75" customHeight="1" x14ac:dyDescent="0.25">
      <c r="A19" s="86" t="str">
        <f ca="1">"bei uns ist die Meldung eingegangen, dass " &amp; AnredeText &amp; " gefährdet " &amp; Verbtext &amp; ",  den neuartigen Coronavirus (SARS-CoV-2) weiterzuverbreiten. Um eine eventuelle" &amp; " Weiterverbreitung zu verhindern und um andere Personen vor Ansteckung zu schützen, sind besondere Schutzmaßnahmen erforderlich."</f>
        <v>bei uns ist die Meldung eingegangen, dass Sie gefährdet sind,  den neuartigen Coronavirus (SARS-CoV-2) weiterzuverbreiten. Um eine eventuelle Weiterverbreitung zu verhindern und um andere Personen vor Ansteckung zu schützen, sind besondere Schutzmaßnahmen erforderlich.</v>
      </c>
      <c r="B19" s="86"/>
      <c r="C19" s="86"/>
      <c r="D19" s="86"/>
      <c r="E19" s="86"/>
      <c r="F19" s="86"/>
      <c r="G19" s="86"/>
      <c r="H19" s="86"/>
      <c r="I19" s="86"/>
    </row>
    <row r="21" spans="1:9" ht="63" customHeight="1" x14ac:dyDescent="0.25">
      <c r="A21" s="96" t="str">
        <f>"Aus diesem Grund ordne ich gemäß § 28 in Verbindung mit § 30 Infektionsschutzgesetz (IfSG) für den Zeitraum ab sofort bis voraussichtlich "&amp;TEXT(Quarantaeneende,"TT.MM.JJJJ")&amp;" die sofortige Absonderung von anderen Personen an. Diese Maßnahme halte ich für notwendig, um eine mögliche Ansteckung von anderen " &amp; "Personen und damit die Ausbreitung des Coronavirus zu verhindern. Die sofortige Absonderung von anderen Personen bedeutet:     "</f>
        <v xml:space="preserve">Aus diesem Grund ordne ich gemäß § 28 in Verbindung mit § 30 Infektionsschutzgesetz (IfSG) für den Zeitraum ab sofort bis voraussichtlich 00.01.1900 die sofortige Absonderung von anderen Personen an. Diese Maßnahme halte ich für notwendig, um eine mögliche Ansteckung von anderen Personen und damit die Ausbreitung des Coronavirus zu verhindern. Die sofortige Absonderung von anderen Personen bedeutet:     </v>
      </c>
      <c r="B21" s="96"/>
      <c r="C21" s="96"/>
      <c r="D21" s="96"/>
      <c r="E21" s="96"/>
      <c r="F21" s="96"/>
      <c r="G21" s="96"/>
      <c r="H21" s="96"/>
      <c r="I21" s="96"/>
    </row>
    <row r="22" spans="1:9" ht="11.45" customHeight="1" x14ac:dyDescent="0.25"/>
    <row r="23" spans="1:9" ht="30.75" customHeight="1" x14ac:dyDescent="0.25">
      <c r="A23" s="87" t="str">
        <f>"1. In der Zeit Ihrer Quarantäne muss "&amp;Vorname&amp;" "&amp;Nachname &amp;" abgesondert von anderen Personen bleiben und darf keinen Besuch in der Wohnung empfangen. "</f>
        <v xml:space="preserve">1. In der Zeit Ihrer Quarantäne muss   abgesondert von anderen Personen bleiben und darf keinen Besuch in der Wohnung empfangen. </v>
      </c>
      <c r="B23" s="87"/>
      <c r="C23" s="87"/>
      <c r="D23" s="87"/>
      <c r="E23" s="87"/>
      <c r="F23" s="87"/>
      <c r="G23" s="87"/>
      <c r="H23" s="87"/>
      <c r="I23" s="87"/>
    </row>
    <row r="24" spans="1:9" x14ac:dyDescent="0.25">
      <c r="A24" s="95" t="s">
        <v>39</v>
      </c>
      <c r="B24" s="95"/>
      <c r="C24" s="95"/>
      <c r="D24" s="95"/>
      <c r="E24" s="95"/>
      <c r="F24" s="95"/>
      <c r="G24" s="95"/>
      <c r="H24" s="95"/>
      <c r="I24" s="95"/>
    </row>
    <row r="25" spans="1:9" ht="30" customHeight="1" x14ac:dyDescent="0.25">
      <c r="A25" s="86" t="s">
        <v>40</v>
      </c>
      <c r="B25" s="86"/>
      <c r="C25" s="86"/>
      <c r="D25" s="86"/>
      <c r="E25" s="86"/>
      <c r="F25" s="86"/>
      <c r="G25" s="86"/>
      <c r="H25" s="86"/>
      <c r="I25" s="86"/>
    </row>
    <row r="26" spans="1:9" x14ac:dyDescent="0.25">
      <c r="A26" s="7" t="s">
        <v>41</v>
      </c>
    </row>
    <row r="27" spans="1:9" ht="30" customHeight="1" x14ac:dyDescent="0.25">
      <c r="A27" s="91" t="s">
        <v>42</v>
      </c>
      <c r="B27" s="91"/>
      <c r="C27" s="91"/>
      <c r="D27" s="91"/>
      <c r="E27" s="91"/>
      <c r="F27" s="91"/>
      <c r="G27" s="91"/>
      <c r="H27" s="91"/>
      <c r="I27" s="91"/>
    </row>
    <row r="28" spans="1:9" x14ac:dyDescent="0.25">
      <c r="A28" t="s">
        <v>43</v>
      </c>
    </row>
    <row r="29" spans="1:9" ht="10.15" customHeight="1" x14ac:dyDescent="0.25"/>
    <row r="30" spans="1:9" ht="46.5" customHeight="1" x14ac:dyDescent="0.25">
      <c r="A30" s="86" t="s">
        <v>44</v>
      </c>
      <c r="B30" s="86"/>
      <c r="C30" s="86"/>
      <c r="D30" s="86"/>
      <c r="E30" s="86"/>
      <c r="F30" s="86"/>
      <c r="G30" s="86"/>
      <c r="H30" s="86"/>
      <c r="I30" s="86"/>
    </row>
    <row r="32" spans="1:9" ht="19.5" customHeight="1" x14ac:dyDescent="0.25">
      <c r="A32" s="35" t="s">
        <v>45</v>
      </c>
    </row>
    <row r="33" spans="1:9" ht="93" customHeight="1" x14ac:dyDescent="0.25">
      <c r="A33" s="86" t="str">
        <f>Begründung&amp;"
Aufgrund des Kontaktes zu einem bestätigten Fall von COVID-19, ist "&amp;Vorname&amp;" "&amp;Nachname&amp;" als Ansteckungsverdächtiger im Sinne des § 2 Nr. 7 IfSG anzusehen. Nach den Definitionen des Robert-Koch-Instituts zählt der Kontakt zur Kontaktkategorie I. Ansteckungsverdächtiger ist "&amp;"nach § 2 Nr. 7 IfSG eine Person, von der anzunehmen ist, dass sie Krankheitserreger aufgenommen hat, ohne krank, krankheitsverdächtig oder Ausscheider zu sein."</f>
        <v xml:space="preserve">
Aufgrund des Kontaktes zu einem bestätigten Fall von COVID-19, ist   als Ansteckungsverdächtiger im Sinne des § 2 Nr. 7 IfSG anzusehen. Nach den Definitionen des Robert-Koch-Instituts zählt der Kontakt zur Kontaktkategorie I. Ansteckungsverdächtiger ist nach § 2 Nr. 7 IfSG eine Person, von der anzunehmen ist, dass sie Krankheitserreger aufgenommen hat, ohne krank, krankheitsverdächtig oder Ausscheider zu sein.</v>
      </c>
      <c r="B33" s="86"/>
      <c r="C33" s="86"/>
      <c r="D33" s="86"/>
      <c r="E33" s="86"/>
      <c r="F33" s="86"/>
      <c r="G33" s="86"/>
      <c r="H33" s="86"/>
      <c r="I33" s="86"/>
    </row>
    <row r="34" spans="1:9" ht="14.45" customHeight="1" x14ac:dyDescent="0.25">
      <c r="A34" s="92"/>
      <c r="B34" s="92"/>
      <c r="C34" s="92"/>
      <c r="D34" s="92"/>
      <c r="E34" s="92"/>
      <c r="F34" s="92"/>
      <c r="G34" s="92"/>
      <c r="H34" s="92"/>
      <c r="I34" s="92"/>
    </row>
    <row r="35" spans="1:9" ht="45" customHeight="1" x14ac:dyDescent="0.25">
      <c r="A35" s="86" t="s">
        <v>46</v>
      </c>
      <c r="B35" s="86"/>
      <c r="C35" s="86"/>
      <c r="D35" s="86"/>
      <c r="E35" s="86"/>
      <c r="F35" s="86"/>
      <c r="G35" s="86"/>
      <c r="H35" s="86"/>
      <c r="I35" s="86"/>
    </row>
    <row r="37" spans="1:9" x14ac:dyDescent="0.25">
      <c r="A37" s="2" t="s">
        <v>47</v>
      </c>
    </row>
    <row r="38" spans="1:9" ht="27.75" customHeight="1" x14ac:dyDescent="0.25">
      <c r="A38" s="87" t="s">
        <v>48</v>
      </c>
      <c r="B38" s="87"/>
      <c r="C38" s="87"/>
      <c r="D38" s="87"/>
      <c r="E38" s="87"/>
      <c r="F38" s="87"/>
      <c r="G38" s="87"/>
      <c r="H38" s="87"/>
      <c r="I38" s="87"/>
    </row>
    <row r="40" spans="1:9" x14ac:dyDescent="0.25">
      <c r="A40" s="2" t="s">
        <v>49</v>
      </c>
    </row>
    <row r="41" spans="1:9" ht="61.5" customHeight="1" x14ac:dyDescent="0.25">
      <c r="A41" s="86" t="s">
        <v>50</v>
      </c>
      <c r="B41" s="86"/>
      <c r="C41" s="86"/>
      <c r="D41" s="86"/>
      <c r="E41" s="86"/>
      <c r="F41" s="86"/>
      <c r="G41" s="86"/>
      <c r="H41" s="86"/>
      <c r="I41" s="86"/>
    </row>
    <row r="42" spans="1:9" ht="16.149999999999999" customHeight="1" x14ac:dyDescent="0.25">
      <c r="A42" s="74"/>
      <c r="B42" s="74"/>
      <c r="C42" s="74"/>
      <c r="D42" s="74"/>
      <c r="E42" s="74"/>
      <c r="F42" s="74"/>
      <c r="G42" s="74"/>
      <c r="H42" s="74"/>
      <c r="I42" s="74"/>
    </row>
    <row r="43" spans="1:9" x14ac:dyDescent="0.25">
      <c r="A43" s="2" t="s">
        <v>101</v>
      </c>
    </row>
    <row r="44" spans="1:9" s="6" customFormat="1" ht="136.5" customHeight="1" x14ac:dyDescent="0.25">
      <c r="A44" s="94" t="s">
        <v>102</v>
      </c>
      <c r="B44" s="94"/>
      <c r="C44" s="94"/>
      <c r="D44" s="94"/>
      <c r="E44" s="94"/>
      <c r="F44" s="94"/>
      <c r="G44" s="94"/>
      <c r="H44" s="94"/>
      <c r="I44" s="94"/>
    </row>
    <row r="45" spans="1:9" ht="11.45" customHeight="1" x14ac:dyDescent="0.25"/>
    <row r="46" spans="1:9" s="6" customFormat="1" ht="75" customHeight="1" x14ac:dyDescent="0.25">
      <c r="A46" s="94" t="s">
        <v>100</v>
      </c>
      <c r="B46" s="94"/>
      <c r="C46" s="94"/>
      <c r="D46" s="94"/>
      <c r="E46" s="94"/>
      <c r="F46" s="94"/>
      <c r="G46" s="94"/>
      <c r="H46" s="94"/>
      <c r="I46" s="94"/>
    </row>
    <row r="48" spans="1:9" x14ac:dyDescent="0.25">
      <c r="A48" t="s">
        <v>51</v>
      </c>
    </row>
    <row r="51" spans="1:9" x14ac:dyDescent="0.25">
      <c r="A51" t="s">
        <v>286</v>
      </c>
    </row>
    <row r="54" spans="1:9" s="24" customFormat="1" ht="12" x14ac:dyDescent="0.2">
      <c r="A54" s="24" t="s">
        <v>52</v>
      </c>
    </row>
    <row r="55" spans="1:9" s="23" customFormat="1" ht="12" x14ac:dyDescent="0.2"/>
    <row r="56" spans="1:9" s="23" customFormat="1" ht="12" x14ac:dyDescent="0.2">
      <c r="A56" s="24" t="s">
        <v>53</v>
      </c>
    </row>
    <row r="57" spans="1:9" s="23" customFormat="1" ht="12" x14ac:dyDescent="0.2">
      <c r="A57" s="24"/>
    </row>
    <row r="58" spans="1:9" s="23" customFormat="1" ht="12" x14ac:dyDescent="0.2">
      <c r="A58" s="24" t="s">
        <v>54</v>
      </c>
    </row>
    <row r="59" spans="1:9" s="23" customFormat="1" ht="12" x14ac:dyDescent="0.2">
      <c r="A59" s="24"/>
    </row>
    <row r="60" spans="1:9" s="23" customFormat="1" ht="12" x14ac:dyDescent="0.2">
      <c r="A60" s="24" t="s">
        <v>55</v>
      </c>
    </row>
    <row r="61" spans="1:9" s="23" customFormat="1" ht="28.15" customHeight="1" x14ac:dyDescent="0.2">
      <c r="A61" s="93" t="s">
        <v>56</v>
      </c>
      <c r="B61" s="93"/>
      <c r="C61" s="93"/>
      <c r="D61" s="93"/>
      <c r="E61" s="93"/>
      <c r="F61" s="93"/>
      <c r="G61" s="93"/>
      <c r="H61" s="93"/>
      <c r="I61" s="93"/>
    </row>
    <row r="62" spans="1:9" s="23" customFormat="1" ht="12" x14ac:dyDescent="0.2"/>
    <row r="63" spans="1:9" s="23" customFormat="1" ht="12" x14ac:dyDescent="0.2">
      <c r="A63" s="24" t="s">
        <v>57</v>
      </c>
    </row>
    <row r="64" spans="1:9" s="23" customFormat="1" ht="32.25" customHeight="1" x14ac:dyDescent="0.2">
      <c r="A64" s="93" t="s">
        <v>58</v>
      </c>
      <c r="B64" s="93"/>
      <c r="C64" s="93"/>
      <c r="D64" s="93"/>
      <c r="E64" s="93"/>
      <c r="F64" s="93"/>
      <c r="G64" s="93"/>
      <c r="H64" s="93"/>
      <c r="I64" s="93"/>
    </row>
    <row r="65" spans="1:9" s="23" customFormat="1" ht="12" x14ac:dyDescent="0.2"/>
    <row r="66" spans="1:9" s="23" customFormat="1" ht="12" x14ac:dyDescent="0.2">
      <c r="A66" s="24" t="s">
        <v>59</v>
      </c>
    </row>
    <row r="67" spans="1:9" s="23" customFormat="1" ht="144.6" customHeight="1" x14ac:dyDescent="0.2">
      <c r="A67" s="93" t="s">
        <v>60</v>
      </c>
      <c r="B67" s="93"/>
      <c r="C67" s="93"/>
      <c r="D67" s="93"/>
      <c r="E67" s="93"/>
      <c r="F67" s="93"/>
      <c r="G67" s="93"/>
      <c r="H67" s="93"/>
      <c r="I67" s="93"/>
    </row>
    <row r="71" spans="1:9" ht="21" x14ac:dyDescent="0.35">
      <c r="A71" s="3" t="s">
        <v>21</v>
      </c>
    </row>
    <row r="72" spans="1:9" x14ac:dyDescent="0.25">
      <c r="A72" t="s">
        <v>22</v>
      </c>
    </row>
    <row r="73" spans="1:9" ht="18.75" x14ac:dyDescent="0.3">
      <c r="A73" s="4" t="s">
        <v>23</v>
      </c>
    </row>
    <row r="74" spans="1:9" ht="16.5" customHeight="1" x14ac:dyDescent="0.25">
      <c r="A74" s="97" t="s">
        <v>296</v>
      </c>
      <c r="B74" s="97"/>
      <c r="C74" s="97"/>
      <c r="D74" s="97"/>
      <c r="E74" s="97"/>
      <c r="F74" s="84"/>
      <c r="G74" s="38" t="s">
        <v>145</v>
      </c>
      <c r="H74" s="5"/>
    </row>
    <row r="75" spans="1:9" ht="12" customHeight="1" x14ac:dyDescent="0.25">
      <c r="A75" s="88" t="s">
        <v>297</v>
      </c>
      <c r="B75" s="88"/>
      <c r="C75" s="88"/>
      <c r="D75" s="88"/>
      <c r="E75" s="88"/>
      <c r="F75" s="84"/>
      <c r="G75" s="5" t="s">
        <v>74</v>
      </c>
      <c r="H75" s="38">
        <f>Eingabetabelle!Q3</f>
        <v>0</v>
      </c>
    </row>
    <row r="76" spans="1:9" ht="11.25" customHeight="1" x14ac:dyDescent="0.25">
      <c r="G76" s="5" t="s">
        <v>26</v>
      </c>
      <c r="H76" s="5" t="s">
        <v>27</v>
      </c>
    </row>
    <row r="77" spans="1:9" x14ac:dyDescent="0.25">
      <c r="A77" t="s">
        <v>28</v>
      </c>
      <c r="G77" s="5" t="s">
        <v>29</v>
      </c>
      <c r="H77" s="5" t="s">
        <v>30</v>
      </c>
    </row>
    <row r="78" spans="1:9" x14ac:dyDescent="0.25">
      <c r="A78" t="str">
        <f>Arbeitgeber</f>
        <v/>
      </c>
      <c r="G78" s="5" t="s">
        <v>31</v>
      </c>
      <c r="H78" s="5" t="s">
        <v>32</v>
      </c>
    </row>
    <row r="79" spans="1:9" x14ac:dyDescent="0.25">
      <c r="A79" t="s">
        <v>157</v>
      </c>
      <c r="G79" s="5"/>
      <c r="H79" s="5" t="s">
        <v>33</v>
      </c>
    </row>
    <row r="80" spans="1:9" ht="35.25" customHeight="1" x14ac:dyDescent="0.25">
      <c r="A80" s="19" t="str">
        <f>Arbeitgeber_Straße&amp;" "&amp;Arbeitgeber_Hausnummer</f>
        <v xml:space="preserve"> </v>
      </c>
      <c r="G80" s="5"/>
      <c r="H80" s="88" t="s">
        <v>34</v>
      </c>
      <c r="I80" s="88"/>
    </row>
    <row r="81" spans="1:8" x14ac:dyDescent="0.25">
      <c r="A81" t="str">
        <f>Arbeitgeber_nur_Postleitzahl&amp;" "&amp;Arbeitgeber_Ort</f>
        <v xml:space="preserve"> </v>
      </c>
      <c r="G81" s="5" t="s">
        <v>35</v>
      </c>
      <c r="H81" s="5" t="s">
        <v>36</v>
      </c>
    </row>
    <row r="82" spans="1:8" x14ac:dyDescent="0.25">
      <c r="G82" s="5"/>
      <c r="H82" s="5" t="s">
        <v>37</v>
      </c>
    </row>
    <row r="83" spans="1:8" x14ac:dyDescent="0.25">
      <c r="G83" s="5"/>
      <c r="H83" s="5"/>
    </row>
    <row r="84" spans="1:8" x14ac:dyDescent="0.25">
      <c r="G84" s="5"/>
      <c r="H84" s="5"/>
    </row>
    <row r="85" spans="1:8" x14ac:dyDescent="0.25">
      <c r="G85" s="5"/>
      <c r="H85" s="5"/>
    </row>
    <row r="86" spans="1:8" x14ac:dyDescent="0.25">
      <c r="G86" s="5"/>
      <c r="H86" s="5"/>
    </row>
    <row r="87" spans="1:8" x14ac:dyDescent="0.25">
      <c r="G87" s="6" t="s">
        <v>38</v>
      </c>
      <c r="H87" s="21">
        <f ca="1">Datum</f>
        <v>43923</v>
      </c>
    </row>
    <row r="88" spans="1:8" x14ac:dyDescent="0.25">
      <c r="A88" s="2" t="str">
        <f>"Anordnung der Absonderung (Quarantäne) für "&amp;Vorname&amp;" "&amp;Nachname&amp;" * " &amp; TEXT(IF(Geburtsdatum="","Geburtsdatum nicht bekannt",Geburtsdatum),"TT.MM.JJJJ")</f>
        <v>Anordnung der Absonderung (Quarantäne) für   * Geburtsdatum nicht bekannt</v>
      </c>
      <c r="E88" s="2"/>
    </row>
    <row r="91" spans="1:8" x14ac:dyDescent="0.25">
      <c r="A91" t="s">
        <v>150</v>
      </c>
    </row>
    <row r="94" spans="1:8" ht="51.75" customHeight="1" x14ac:dyDescent="0.25">
      <c r="A94" s="98" t="str">
        <f>"für die o.g. Person ist gemäß § 28 in Verbindung mit § 30 Infektionsschutzgesetz (IfSG) vom Gesundheitsamt Reinickendorf eine Absonderung für den Zeitraum ab sofort bis voraussichtlich  "&amp;TEXT(Quarantaeneende,"TT.MM.JJJJ")&amp;" angeordnet worden."</f>
        <v>für die o.g. Person ist gemäß § 28 in Verbindung mit § 30 Infektionsschutzgesetz (IfSG) vom Gesundheitsamt Reinickendorf eine Absonderung für den Zeitraum ab sofort bis voraussichtlich  00.01.1900 angeordnet worden.</v>
      </c>
      <c r="B94" s="98"/>
      <c r="C94" s="98"/>
      <c r="D94" s="98"/>
      <c r="E94" s="98"/>
      <c r="F94" s="98"/>
      <c r="G94" s="98"/>
      <c r="H94" s="98"/>
    </row>
    <row r="97" spans="1:1" x14ac:dyDescent="0.25">
      <c r="A97" t="s">
        <v>151</v>
      </c>
    </row>
    <row r="98" spans="1:1" x14ac:dyDescent="0.25">
      <c r="A98" t="s">
        <v>51</v>
      </c>
    </row>
    <row r="101" spans="1:1" x14ac:dyDescent="0.25">
      <c r="A101" t="s">
        <v>286</v>
      </c>
    </row>
  </sheetData>
  <mergeCells count="23">
    <mergeCell ref="A74:E74"/>
    <mergeCell ref="A75:E75"/>
    <mergeCell ref="H80:I80"/>
    <mergeCell ref="A94:H94"/>
    <mergeCell ref="A35:I35"/>
    <mergeCell ref="A5:F5"/>
    <mergeCell ref="H10:I10"/>
    <mergeCell ref="A19:I19"/>
    <mergeCell ref="A21:I21"/>
    <mergeCell ref="A23:I23"/>
    <mergeCell ref="A24:I24"/>
    <mergeCell ref="A25:I25"/>
    <mergeCell ref="A27:I27"/>
    <mergeCell ref="A30:I30"/>
    <mergeCell ref="A33:I33"/>
    <mergeCell ref="A34:I34"/>
    <mergeCell ref="A67:I67"/>
    <mergeCell ref="A64:I64"/>
    <mergeCell ref="A38:I38"/>
    <mergeCell ref="A41:I41"/>
    <mergeCell ref="A44:I44"/>
    <mergeCell ref="A46:I46"/>
    <mergeCell ref="A61:I61"/>
  </mergeCells>
  <pageMargins left="0.7" right="0.7" top="0.78740157499999996" bottom="0.78740157499999996" header="0.3" footer="0.3"/>
  <pageSetup paperSize="9" scale="85" orientation="portrait" r:id="rId1"/>
  <rowBreaks count="1" manualBreakCount="1">
    <brk id="69"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I101"/>
  <sheetViews>
    <sheetView zoomScale="140" zoomScaleNormal="140" zoomScaleSheetLayoutView="130" workbookViewId="0">
      <selection activeCell="L14" sqref="L14"/>
    </sheetView>
  </sheetViews>
  <sheetFormatPr baseColWidth="10" defaultRowHeight="15" x14ac:dyDescent="0.25"/>
  <cols>
    <col min="9" max="9" width="8.42578125" customWidth="1"/>
  </cols>
  <sheetData>
    <row r="1" spans="1:9" ht="21" x14ac:dyDescent="0.35">
      <c r="A1" s="3" t="s">
        <v>21</v>
      </c>
    </row>
    <row r="2" spans="1:9" x14ac:dyDescent="0.25">
      <c r="A2" t="s">
        <v>22</v>
      </c>
    </row>
    <row r="3" spans="1:9" ht="18.75" x14ac:dyDescent="0.3">
      <c r="A3" s="4" t="s">
        <v>23</v>
      </c>
    </row>
    <row r="4" spans="1:9" x14ac:dyDescent="0.25">
      <c r="G4" s="38" t="s">
        <v>145</v>
      </c>
      <c r="H4" s="38"/>
    </row>
    <row r="5" spans="1:9" ht="24.75" customHeight="1" x14ac:dyDescent="0.25">
      <c r="A5" s="88" t="s">
        <v>25</v>
      </c>
      <c r="B5" s="88"/>
      <c r="C5" s="88"/>
      <c r="D5" s="88"/>
      <c r="E5" s="88"/>
      <c r="F5" s="88"/>
      <c r="G5" s="5" t="s">
        <v>74</v>
      </c>
      <c r="H5" s="38">
        <f>Eingabetabelle!Q3</f>
        <v>0</v>
      </c>
    </row>
    <row r="6" spans="1:9" x14ac:dyDescent="0.25">
      <c r="G6" s="5" t="s">
        <v>26</v>
      </c>
      <c r="H6" s="5" t="s">
        <v>27</v>
      </c>
    </row>
    <row r="7" spans="1:9" x14ac:dyDescent="0.25">
      <c r="A7" t="s">
        <v>28</v>
      </c>
      <c r="G7" s="5" t="s">
        <v>29</v>
      </c>
      <c r="H7" s="5" t="s">
        <v>30</v>
      </c>
    </row>
    <row r="8" spans="1:9" x14ac:dyDescent="0.25">
      <c r="A8" t="str">
        <f ca="1">IF((DATEDIF(Geburtsdatum, TODAY(),"Y")&lt;18),Erziehungsberechtigte,Vorname&amp;" "&amp;Nachname)</f>
        <v xml:space="preserve"> </v>
      </c>
      <c r="G8" s="5" t="s">
        <v>31</v>
      </c>
      <c r="H8" s="5" t="s">
        <v>32</v>
      </c>
    </row>
    <row r="9" spans="1:9" x14ac:dyDescent="0.25">
      <c r="A9" t="str">
        <f>Strasse&amp;" "&amp;Hausnummer</f>
        <v xml:space="preserve"> </v>
      </c>
      <c r="G9" s="5"/>
      <c r="H9" s="5" t="s">
        <v>33</v>
      </c>
    </row>
    <row r="10" spans="1:9" ht="36.75" customHeight="1" x14ac:dyDescent="0.25">
      <c r="A10" s="19" t="str">
        <f>Ort&amp;" Berlin"</f>
        <v xml:space="preserve"> Berlin</v>
      </c>
      <c r="G10" s="5"/>
      <c r="H10" s="88" t="s">
        <v>34</v>
      </c>
      <c r="I10" s="88"/>
    </row>
    <row r="11" spans="1:9" x14ac:dyDescent="0.25">
      <c r="G11" s="5" t="s">
        <v>35</v>
      </c>
      <c r="H11" s="5" t="s">
        <v>36</v>
      </c>
    </row>
    <row r="12" spans="1:9" x14ac:dyDescent="0.25">
      <c r="G12" s="5"/>
      <c r="H12" s="5" t="s">
        <v>37</v>
      </c>
    </row>
    <row r="13" spans="1:9" ht="12" customHeight="1" x14ac:dyDescent="0.25">
      <c r="G13" s="5"/>
      <c r="H13" s="5"/>
    </row>
    <row r="14" spans="1:9" x14ac:dyDescent="0.25">
      <c r="G14" s="6" t="s">
        <v>38</v>
      </c>
      <c r="H14" s="21">
        <f ca="1">Datum</f>
        <v>43923</v>
      </c>
    </row>
    <row r="15" spans="1:9" x14ac:dyDescent="0.25">
      <c r="A15" s="2" t="str">
        <f>"Anordnung der Absonderung (Quarantäne) für "&amp;Vorname&amp;" "&amp;Nachname&amp;" * " &amp; TEXT(IF(Geburtsdatum="","Geburtsdatum nicht bekannt",Geburtsdatum),"TT.MM.JJJJ")</f>
        <v>Anordnung der Absonderung (Quarantäne) für   * Geburtsdatum nicht bekannt</v>
      </c>
      <c r="E15" s="2"/>
    </row>
    <row r="17" spans="1:9" x14ac:dyDescent="0.25">
      <c r="A17" t="str">
        <f>IF(Anrede="Sehr geehrte Familie",Anrede&amp;",",Anrede&amp;" "&amp;Nachname&amp;",")</f>
        <v>Sehr geehrte Frau  ,</v>
      </c>
      <c r="C17" s="33"/>
    </row>
    <row r="18" spans="1:9" ht="11.45" customHeight="1" x14ac:dyDescent="0.25"/>
    <row r="19" spans="1:9" ht="45.75" customHeight="1" x14ac:dyDescent="0.25">
      <c r="A19" s="86" t="str">
        <f ca="1">"bei uns ist die Meldung eingegangen, dass " &amp; AnredeText &amp; " gefährdet " &amp; Verbtext &amp; ",  den neuartigen Coronavirus (SARS-CoV-2) weiterzuverbreiten. Um eine eventuelle" &amp; " Weiterverbreitung zu verhindern und um andere Personen vor Ansteckung zu schützen, sind besondere Schutzmaßnahmen erforderlich."</f>
        <v>bei uns ist die Meldung eingegangen, dass Sie gefährdet sind,  den neuartigen Coronavirus (SARS-CoV-2) weiterzuverbreiten. Um eine eventuelle Weiterverbreitung zu verhindern und um andere Personen vor Ansteckung zu schützen, sind besondere Schutzmaßnahmen erforderlich.</v>
      </c>
      <c r="B19" s="86"/>
      <c r="C19" s="86"/>
      <c r="D19" s="86"/>
      <c r="E19" s="86"/>
      <c r="F19" s="86"/>
      <c r="G19" s="86"/>
      <c r="H19" s="86"/>
      <c r="I19" s="86"/>
    </row>
    <row r="21" spans="1:9" ht="63" customHeight="1" x14ac:dyDescent="0.25">
      <c r="A21" s="96" t="str">
        <f>"Aus diesem Grund ordne ich Ihnen gemäß § 28 in Verbindung mit § 30 Infektionsschutzgesetz (IfSG) für den Zeitraum von "&amp;TEXT(LetzteAnsteckung,"TT.MM.JJJJ")&amp;" bis "&amp;TEXT(Quarantaeneende,"TT.MM.JJJJ")&amp;" die sofortige Absonderung von anderen Personen an. Diese Maßnahme halte ich für notwendig, um eine mögliche Ansteckung von anderen "&amp;"Personen und damit die Ausbreitung des Coronavirus zu verhindern. Die sofortige Absonderung von anderen Personen bedeutet:     "</f>
        <v xml:space="preserve">Aus diesem Grund ordne ich Ihnen gemäß § 28 in Verbindung mit § 30 Infektionsschutzgesetz (IfSG) für den Zeitraum von 00.01.1900 bis 00.01.1900 die sofortige Absonderung von anderen Personen an. Diese Maßnahme halte ich für notwendig, um eine mögliche Ansteckung von anderen Personen und damit die Ausbreitung des Coronavirus zu verhindern. Die sofortige Absonderung von anderen Personen bedeutet:     </v>
      </c>
      <c r="B21" s="96"/>
      <c r="C21" s="96"/>
      <c r="D21" s="96"/>
      <c r="E21" s="96"/>
      <c r="F21" s="96"/>
      <c r="G21" s="96"/>
      <c r="H21" s="96"/>
      <c r="I21" s="96"/>
    </row>
    <row r="22" spans="1:9" ht="11.45" customHeight="1" x14ac:dyDescent="0.25"/>
    <row r="23" spans="1:9" ht="30.75" customHeight="1" x14ac:dyDescent="0.25">
      <c r="A23" s="87" t="str">
        <f>"1. In der Zeit Ihrer Quarantäne müssen Sie abgesondert von anderen Personen bleiben und dürfen keinen Besuch in der Wohnung empfangen. "</f>
        <v xml:space="preserve">1. In der Zeit Ihrer Quarantäne müssen Sie abgesondert von anderen Personen bleiben und dürfen keinen Besuch in der Wohnung empfangen. </v>
      </c>
      <c r="B23" s="87"/>
      <c r="C23" s="87"/>
      <c r="D23" s="87"/>
      <c r="E23" s="87"/>
      <c r="F23" s="87"/>
      <c r="G23" s="87"/>
      <c r="H23" s="87"/>
      <c r="I23" s="87"/>
    </row>
    <row r="24" spans="1:9" ht="30.75" customHeight="1" x14ac:dyDescent="0.25">
      <c r="A24" s="87" t="s">
        <v>146</v>
      </c>
      <c r="B24" s="87"/>
      <c r="C24" s="87"/>
      <c r="D24" s="87"/>
      <c r="E24" s="87"/>
      <c r="F24" s="87"/>
      <c r="G24" s="87"/>
      <c r="H24" s="87"/>
      <c r="I24" s="87"/>
    </row>
    <row r="25" spans="1:9" ht="30" customHeight="1" x14ac:dyDescent="0.25">
      <c r="A25" s="86" t="s">
        <v>40</v>
      </c>
      <c r="B25" s="86"/>
      <c r="C25" s="86"/>
      <c r="D25" s="86"/>
      <c r="E25" s="86"/>
      <c r="F25" s="86"/>
      <c r="G25" s="86"/>
      <c r="H25" s="86"/>
      <c r="I25" s="86"/>
    </row>
    <row r="26" spans="1:9" x14ac:dyDescent="0.25">
      <c r="A26" s="7" t="s">
        <v>41</v>
      </c>
    </row>
    <row r="27" spans="1:9" ht="30" customHeight="1" x14ac:dyDescent="0.25">
      <c r="A27" s="91" t="s">
        <v>42</v>
      </c>
      <c r="B27" s="91"/>
      <c r="C27" s="91"/>
      <c r="D27" s="91"/>
      <c r="E27" s="91"/>
      <c r="F27" s="91"/>
      <c r="G27" s="91"/>
      <c r="H27" s="91"/>
      <c r="I27" s="91"/>
    </row>
    <row r="28" spans="1:9" x14ac:dyDescent="0.25">
      <c r="A28" t="s">
        <v>43</v>
      </c>
    </row>
    <row r="29" spans="1:9" ht="10.15" customHeight="1" x14ac:dyDescent="0.25"/>
    <row r="30" spans="1:9" ht="46.5" customHeight="1" x14ac:dyDescent="0.25">
      <c r="A30" s="86" t="s">
        <v>44</v>
      </c>
      <c r="B30" s="86"/>
      <c r="C30" s="86"/>
      <c r="D30" s="86"/>
      <c r="E30" s="86"/>
      <c r="F30" s="86"/>
      <c r="G30" s="86"/>
      <c r="H30" s="86"/>
      <c r="I30" s="86"/>
    </row>
    <row r="32" spans="1:9" ht="19.5" customHeight="1" x14ac:dyDescent="0.25">
      <c r="A32" s="35" t="s">
        <v>45</v>
      </c>
    </row>
    <row r="33" spans="1:9" ht="109.5" customHeight="1" x14ac:dyDescent="0.25">
      <c r="A33" s="86" t="s">
        <v>147</v>
      </c>
      <c r="B33" s="86"/>
      <c r="C33" s="86"/>
      <c r="D33" s="86"/>
      <c r="E33" s="86"/>
      <c r="F33" s="86"/>
      <c r="G33" s="86"/>
      <c r="H33" s="86"/>
      <c r="I33" s="86"/>
    </row>
    <row r="34" spans="1:9" ht="109.5" customHeight="1" x14ac:dyDescent="0.25">
      <c r="A34" s="86" t="s">
        <v>148</v>
      </c>
      <c r="B34" s="86"/>
      <c r="C34" s="86"/>
      <c r="D34" s="86"/>
      <c r="E34" s="86"/>
      <c r="F34" s="86"/>
      <c r="G34" s="86"/>
      <c r="H34" s="86"/>
      <c r="I34" s="86"/>
    </row>
    <row r="36" spans="1:9" x14ac:dyDescent="0.25">
      <c r="A36" s="2" t="s">
        <v>47</v>
      </c>
    </row>
    <row r="37" spans="1:9" ht="27.75" customHeight="1" x14ac:dyDescent="0.25">
      <c r="A37" s="87" t="s">
        <v>48</v>
      </c>
      <c r="B37" s="87"/>
      <c r="C37" s="87"/>
      <c r="D37" s="87"/>
      <c r="E37" s="87"/>
      <c r="F37" s="87"/>
      <c r="G37" s="87"/>
      <c r="H37" s="87"/>
      <c r="I37" s="87"/>
    </row>
    <row r="39" spans="1:9" x14ac:dyDescent="0.25">
      <c r="A39" s="2" t="s">
        <v>49</v>
      </c>
    </row>
    <row r="40" spans="1:9" ht="61.5" customHeight="1" x14ac:dyDescent="0.25">
      <c r="A40" s="86" t="s">
        <v>50</v>
      </c>
      <c r="B40" s="86"/>
      <c r="C40" s="86"/>
      <c r="D40" s="86"/>
      <c r="E40" s="86"/>
      <c r="F40" s="86"/>
      <c r="G40" s="86"/>
      <c r="H40" s="86"/>
      <c r="I40" s="86"/>
    </row>
    <row r="41" spans="1:9" ht="107.25" customHeight="1" x14ac:dyDescent="0.25">
      <c r="A41" s="86" t="s">
        <v>149</v>
      </c>
      <c r="B41" s="86"/>
      <c r="C41" s="86"/>
      <c r="D41" s="86"/>
      <c r="E41" s="86"/>
      <c r="F41" s="86"/>
      <c r="G41" s="86"/>
      <c r="H41" s="86"/>
      <c r="I41" s="86"/>
    </row>
    <row r="42" spans="1:9" ht="16.149999999999999" customHeight="1" x14ac:dyDescent="0.25">
      <c r="A42" s="74"/>
      <c r="B42" s="74"/>
      <c r="C42" s="74"/>
      <c r="D42" s="74"/>
      <c r="E42" s="74"/>
      <c r="F42" s="74"/>
      <c r="G42" s="74"/>
      <c r="H42" s="74"/>
      <c r="I42" s="74"/>
    </row>
    <row r="43" spans="1:9" x14ac:dyDescent="0.25">
      <c r="A43" s="2" t="s">
        <v>101</v>
      </c>
    </row>
    <row r="44" spans="1:9" s="6" customFormat="1" ht="136.5" customHeight="1" x14ac:dyDescent="0.25">
      <c r="A44" s="94" t="s">
        <v>102</v>
      </c>
      <c r="B44" s="94"/>
      <c r="C44" s="94"/>
      <c r="D44" s="94"/>
      <c r="E44" s="94"/>
      <c r="F44" s="94"/>
      <c r="G44" s="94"/>
      <c r="H44" s="94"/>
      <c r="I44" s="94"/>
    </row>
    <row r="45" spans="1:9" ht="11.45" customHeight="1" x14ac:dyDescent="0.25"/>
    <row r="46" spans="1:9" s="6" customFormat="1" ht="75" customHeight="1" x14ac:dyDescent="0.25">
      <c r="A46" s="94" t="s">
        <v>100</v>
      </c>
      <c r="B46" s="94"/>
      <c r="C46" s="94"/>
      <c r="D46" s="94"/>
      <c r="E46" s="94"/>
      <c r="F46" s="94"/>
      <c r="G46" s="94"/>
      <c r="H46" s="94"/>
      <c r="I46" s="94"/>
    </row>
    <row r="48" spans="1:9" x14ac:dyDescent="0.25">
      <c r="A48" t="s">
        <v>51</v>
      </c>
    </row>
    <row r="51" spans="1:9" x14ac:dyDescent="0.25">
      <c r="A51" t="s">
        <v>286</v>
      </c>
    </row>
    <row r="54" spans="1:9" s="24" customFormat="1" ht="12" x14ac:dyDescent="0.2">
      <c r="A54" s="24" t="s">
        <v>52</v>
      </c>
    </row>
    <row r="55" spans="1:9" s="23" customFormat="1" ht="12" x14ac:dyDescent="0.2"/>
    <row r="56" spans="1:9" s="23" customFormat="1" ht="12" x14ac:dyDescent="0.2">
      <c r="A56" s="24" t="s">
        <v>53</v>
      </c>
    </row>
    <row r="57" spans="1:9" s="23" customFormat="1" ht="12" x14ac:dyDescent="0.2">
      <c r="A57" s="24"/>
    </row>
    <row r="58" spans="1:9" s="23" customFormat="1" ht="12" x14ac:dyDescent="0.2">
      <c r="A58" s="24" t="s">
        <v>54</v>
      </c>
    </row>
    <row r="59" spans="1:9" s="23" customFormat="1" ht="12" x14ac:dyDescent="0.2">
      <c r="A59" s="24"/>
    </row>
    <row r="60" spans="1:9" s="23" customFormat="1" ht="12" x14ac:dyDescent="0.2">
      <c r="A60" s="24" t="s">
        <v>55</v>
      </c>
    </row>
    <row r="61" spans="1:9" s="23" customFormat="1" ht="28.15" customHeight="1" x14ac:dyDescent="0.2">
      <c r="A61" s="93" t="s">
        <v>56</v>
      </c>
      <c r="B61" s="93"/>
      <c r="C61" s="93"/>
      <c r="D61" s="93"/>
      <c r="E61" s="93"/>
      <c r="F61" s="93"/>
      <c r="G61" s="93"/>
      <c r="H61" s="93"/>
      <c r="I61" s="93"/>
    </row>
    <row r="62" spans="1:9" s="23" customFormat="1" ht="12" x14ac:dyDescent="0.2"/>
    <row r="63" spans="1:9" s="23" customFormat="1" ht="12" x14ac:dyDescent="0.2">
      <c r="A63" s="24" t="s">
        <v>57</v>
      </c>
    </row>
    <row r="64" spans="1:9" s="23" customFormat="1" ht="32.25" customHeight="1" x14ac:dyDescent="0.2">
      <c r="A64" s="93" t="s">
        <v>58</v>
      </c>
      <c r="B64" s="93"/>
      <c r="C64" s="93"/>
      <c r="D64" s="93"/>
      <c r="E64" s="93"/>
      <c r="F64" s="93"/>
      <c r="G64" s="93"/>
      <c r="H64" s="93"/>
      <c r="I64" s="93"/>
    </row>
    <row r="65" spans="1:9" s="23" customFormat="1" ht="12" x14ac:dyDescent="0.2"/>
    <row r="66" spans="1:9" s="23" customFormat="1" ht="12" x14ac:dyDescent="0.2">
      <c r="A66" s="24" t="s">
        <v>59</v>
      </c>
    </row>
    <row r="67" spans="1:9" s="23" customFormat="1" ht="144.6" customHeight="1" x14ac:dyDescent="0.2">
      <c r="A67" s="93" t="s">
        <v>60</v>
      </c>
      <c r="B67" s="93"/>
      <c r="C67" s="93"/>
      <c r="D67" s="93"/>
      <c r="E67" s="93"/>
      <c r="F67" s="93"/>
      <c r="G67" s="93"/>
      <c r="H67" s="93"/>
      <c r="I67" s="93"/>
    </row>
    <row r="68" spans="1:9" s="23" customFormat="1" ht="144.6" customHeight="1" x14ac:dyDescent="0.2">
      <c r="A68" s="75"/>
      <c r="B68" s="75"/>
      <c r="C68" s="75"/>
      <c r="D68" s="75"/>
      <c r="E68" s="75"/>
      <c r="F68" s="75"/>
      <c r="G68" s="75"/>
      <c r="H68" s="75"/>
      <c r="I68" s="75"/>
    </row>
    <row r="72" spans="1:9" ht="21" x14ac:dyDescent="0.35">
      <c r="A72" s="3" t="s">
        <v>21</v>
      </c>
    </row>
    <row r="73" spans="1:9" x14ac:dyDescent="0.25">
      <c r="A73" t="s">
        <v>22</v>
      </c>
    </row>
    <row r="74" spans="1:9" ht="18.75" x14ac:dyDescent="0.3">
      <c r="A74" s="4" t="s">
        <v>23</v>
      </c>
    </row>
    <row r="75" spans="1:9" ht="16.5" customHeight="1" x14ac:dyDescent="0.25">
      <c r="A75" s="97" t="s">
        <v>296</v>
      </c>
      <c r="B75" s="97"/>
      <c r="C75" s="97"/>
      <c r="D75" s="97"/>
      <c r="E75" s="97"/>
      <c r="F75" s="84"/>
      <c r="G75" s="38" t="s">
        <v>145</v>
      </c>
      <c r="H75" s="5"/>
    </row>
    <row r="76" spans="1:9" ht="12" customHeight="1" x14ac:dyDescent="0.25">
      <c r="A76" s="88" t="s">
        <v>297</v>
      </c>
      <c r="B76" s="88"/>
      <c r="C76" s="88"/>
      <c r="D76" s="88"/>
      <c r="E76" s="88"/>
      <c r="F76" s="84"/>
      <c r="G76" s="5" t="s">
        <v>74</v>
      </c>
      <c r="H76" s="38">
        <f>Eingabetabelle!Q4</f>
        <v>0</v>
      </c>
    </row>
    <row r="77" spans="1:9" x14ac:dyDescent="0.25">
      <c r="A77" t="s">
        <v>28</v>
      </c>
      <c r="G77" s="5" t="s">
        <v>29</v>
      </c>
      <c r="H77" s="5" t="s">
        <v>30</v>
      </c>
    </row>
    <row r="78" spans="1:9" x14ac:dyDescent="0.25">
      <c r="A78" t="str">
        <f>Arbeitgeber</f>
        <v/>
      </c>
      <c r="G78" s="5" t="s">
        <v>31</v>
      </c>
      <c r="H78" s="5" t="s">
        <v>32</v>
      </c>
    </row>
    <row r="79" spans="1:9" ht="17.25" customHeight="1" x14ac:dyDescent="0.25">
      <c r="A79" t="s">
        <v>157</v>
      </c>
      <c r="G79" s="5"/>
      <c r="H79" s="5" t="s">
        <v>33</v>
      </c>
    </row>
    <row r="80" spans="1:9" ht="49.5" customHeight="1" x14ac:dyDescent="0.25">
      <c r="A80" s="19" t="str">
        <f>Arbeitgeber_Straße&amp;" "&amp;Arbeitgeber_Hausnummer</f>
        <v xml:space="preserve"> </v>
      </c>
      <c r="G80" s="5"/>
      <c r="H80" s="88" t="s">
        <v>34</v>
      </c>
      <c r="I80" s="88"/>
    </row>
    <row r="81" spans="1:8" x14ac:dyDescent="0.25">
      <c r="A81" t="str">
        <f>Arbeitgeber_nur_Postleitzahl&amp;" "&amp;Arbeitgeber_Ort</f>
        <v xml:space="preserve"> </v>
      </c>
      <c r="G81" s="5" t="s">
        <v>35</v>
      </c>
      <c r="H81" s="5" t="s">
        <v>36</v>
      </c>
    </row>
    <row r="82" spans="1:8" x14ac:dyDescent="0.25">
      <c r="G82" s="5"/>
      <c r="H82" s="5" t="s">
        <v>37</v>
      </c>
    </row>
    <row r="83" spans="1:8" x14ac:dyDescent="0.25">
      <c r="G83" s="5"/>
      <c r="H83" s="5"/>
    </row>
    <row r="84" spans="1:8" x14ac:dyDescent="0.25">
      <c r="G84" s="5"/>
      <c r="H84" s="5"/>
    </row>
    <row r="85" spans="1:8" x14ac:dyDescent="0.25">
      <c r="G85" s="5"/>
      <c r="H85" s="5"/>
    </row>
    <row r="86" spans="1:8" x14ac:dyDescent="0.25">
      <c r="G86" s="5"/>
      <c r="H86" s="5"/>
    </row>
    <row r="87" spans="1:8" x14ac:dyDescent="0.25">
      <c r="G87" s="6" t="s">
        <v>38</v>
      </c>
      <c r="H87" s="21">
        <f ca="1">Datum</f>
        <v>43923</v>
      </c>
    </row>
    <row r="88" spans="1:8" x14ac:dyDescent="0.25">
      <c r="A88" s="2" t="str">
        <f>"Anordnung der Absonderung (Quarantäne) für "&amp;Vorname&amp;" "&amp;Nachname&amp;" * " &amp; TEXT(IF(Geburtsdatum="","Geburtsdatum nicht bekannt",Geburtsdatum),"TT.MM.JJJJ")</f>
        <v>Anordnung der Absonderung (Quarantäne) für   * Geburtsdatum nicht bekannt</v>
      </c>
      <c r="E88" s="2"/>
    </row>
    <row r="91" spans="1:8" x14ac:dyDescent="0.25">
      <c r="A91" t="s">
        <v>150</v>
      </c>
    </row>
    <row r="94" spans="1:8" ht="56.25" customHeight="1" x14ac:dyDescent="0.25">
      <c r="A94" s="98" t="str">
        <f>"für die o.g. Person ist gemäß § 28 in Verbindung mit § 30 Infektionsschutzgesetz (IfSG) vom Gesundheitsamt Reinickendorf eine Absonderung für den Zeitraum ab sofort bis voraussichtlich  "&amp;TEXT(Quarantaeneende,"TT.MM.JJJJ")&amp;" angeordnet worden."</f>
        <v>für die o.g. Person ist gemäß § 28 in Verbindung mit § 30 Infektionsschutzgesetz (IfSG) vom Gesundheitsamt Reinickendorf eine Absonderung für den Zeitraum ab sofort bis voraussichtlich  00.01.1900 angeordnet worden.</v>
      </c>
      <c r="B94" s="98"/>
      <c r="C94" s="98"/>
      <c r="D94" s="98"/>
      <c r="E94" s="98"/>
      <c r="F94" s="98"/>
      <c r="G94" s="98"/>
      <c r="H94" s="98"/>
    </row>
    <row r="97" spans="1:1" x14ac:dyDescent="0.25">
      <c r="A97" t="s">
        <v>151</v>
      </c>
    </row>
    <row r="98" spans="1:1" x14ac:dyDescent="0.25">
      <c r="A98" t="s">
        <v>51</v>
      </c>
    </row>
    <row r="101" spans="1:1" x14ac:dyDescent="0.25">
      <c r="A101" t="s">
        <v>286</v>
      </c>
    </row>
  </sheetData>
  <mergeCells count="23">
    <mergeCell ref="A24:I24"/>
    <mergeCell ref="A5:F5"/>
    <mergeCell ref="H10:I10"/>
    <mergeCell ref="A19:I19"/>
    <mergeCell ref="A21:I21"/>
    <mergeCell ref="A23:I23"/>
    <mergeCell ref="A25:I25"/>
    <mergeCell ref="A27:I27"/>
    <mergeCell ref="A30:I30"/>
    <mergeCell ref="A33:I33"/>
    <mergeCell ref="A34:I34"/>
    <mergeCell ref="H80:I80"/>
    <mergeCell ref="A94:H94"/>
    <mergeCell ref="A67:I67"/>
    <mergeCell ref="A37:I37"/>
    <mergeCell ref="A40:I40"/>
    <mergeCell ref="A44:I44"/>
    <mergeCell ref="A46:I46"/>
    <mergeCell ref="A61:I61"/>
    <mergeCell ref="A64:I64"/>
    <mergeCell ref="A41:I41"/>
    <mergeCell ref="A75:E75"/>
    <mergeCell ref="A76:E76"/>
  </mergeCells>
  <pageMargins left="0.7" right="0.7" top="0.78740157499999996" bottom="0.78740157499999996" header="0.3" footer="0.3"/>
  <pageSetup paperSize="9" scale="85" orientation="portrait" r:id="rId1"/>
  <rowBreaks count="2" manualBreakCount="2">
    <brk id="68" max="16383" man="1"/>
    <brk id="70"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H36"/>
  <sheetViews>
    <sheetView workbookViewId="0">
      <selection activeCell="B1" sqref="B1"/>
    </sheetView>
  </sheetViews>
  <sheetFormatPr baseColWidth="10" defaultRowHeight="15" x14ac:dyDescent="0.25"/>
  <cols>
    <col min="1" max="1" width="9.28515625" customWidth="1"/>
    <col min="2" max="2" width="17.7109375" customWidth="1"/>
    <col min="4" max="4" width="14.140625" customWidth="1"/>
  </cols>
  <sheetData>
    <row r="1" spans="2:8" x14ac:dyDescent="0.25">
      <c r="B1" t="s">
        <v>303</v>
      </c>
    </row>
    <row r="2" spans="2:8" x14ac:dyDescent="0.25">
      <c r="B2" t="s">
        <v>299</v>
      </c>
      <c r="C2" t="s">
        <v>300</v>
      </c>
      <c r="F2" t="s">
        <v>301</v>
      </c>
      <c r="H2" t="s">
        <v>302</v>
      </c>
    </row>
    <row r="4" spans="2:8" x14ac:dyDescent="0.25">
      <c r="B4" s="57" t="s">
        <v>80</v>
      </c>
      <c r="C4" s="57" t="s">
        <v>79</v>
      </c>
    </row>
    <row r="5" spans="2:8" x14ac:dyDescent="0.25">
      <c r="B5" s="57" t="s">
        <v>81</v>
      </c>
      <c r="C5" s="57"/>
    </row>
    <row r="6" spans="2:8" x14ac:dyDescent="0.25">
      <c r="B6" s="57" t="s">
        <v>82</v>
      </c>
      <c r="C6" s="57" t="str">
        <f ca="1">Strasse&amp;"_"&amp;Hausnummer&amp;"_"&amp;Nachname&amp;"_"&amp;Vorname&amp;"_"&amp;YEAR(TODAY())&amp;"_"&amp;MONTH(TODAY())&amp;"_"&amp;DAY(TODAY())&amp;"_"&amp;HOUR(NOW())&amp;"_"&amp;MINUTE(NOW())&amp;"_"&amp;SECOND(NOW())</f>
        <v>____2020_4_2_14_5_4</v>
      </c>
    </row>
    <row r="7" spans="2:8" x14ac:dyDescent="0.25">
      <c r="B7" s="57" t="s">
        <v>83</v>
      </c>
      <c r="C7" s="57" t="s">
        <v>84</v>
      </c>
      <c r="D7" t="s">
        <v>211</v>
      </c>
    </row>
    <row r="8" spans="2:8" x14ac:dyDescent="0.25">
      <c r="B8" s="57" t="s">
        <v>85</v>
      </c>
      <c r="C8" s="57" t="str">
        <f ca="1">baseurl&amp;ordner&amp;dateiname&amp;endung</f>
        <v>I:\DATEN\Gesundheitsamt\Lagezentrum\Hotline\Daten\____2020_4_2_14_5_4.pdf</v>
      </c>
    </row>
    <row r="9" spans="2:8" x14ac:dyDescent="0.25">
      <c r="B9" s="57" t="s">
        <v>210</v>
      </c>
      <c r="C9" s="57" t="str">
        <f>Strasse&amp;"_"&amp;Hausnummer&amp;"_"&amp;Nachname&amp;"_"&amp;Vorname&amp;"_"&amp;D7</f>
        <v>____.xlsm</v>
      </c>
    </row>
    <row r="10" spans="2:8" x14ac:dyDescent="0.25">
      <c r="B10" s="57"/>
      <c r="C10" s="57"/>
    </row>
    <row r="11" spans="2:8" x14ac:dyDescent="0.25">
      <c r="B11" s="57"/>
      <c r="C11" s="57"/>
    </row>
    <row r="12" spans="2:8" x14ac:dyDescent="0.25">
      <c r="B12" s="57"/>
      <c r="C12" s="57"/>
    </row>
    <row r="13" spans="2:8" x14ac:dyDescent="0.25">
      <c r="B13" s="57"/>
      <c r="C13" s="57"/>
    </row>
    <row r="14" spans="2:8" x14ac:dyDescent="0.25">
      <c r="B14" s="57"/>
      <c r="C14" s="57"/>
    </row>
    <row r="15" spans="2:8" x14ac:dyDescent="0.25">
      <c r="B15" s="57"/>
      <c r="C15" s="57"/>
    </row>
    <row r="16" spans="2:8" x14ac:dyDescent="0.25">
      <c r="B16" s="57"/>
      <c r="C16" s="57"/>
    </row>
    <row r="17" spans="1:3" x14ac:dyDescent="0.25">
      <c r="B17" s="57"/>
      <c r="C17" s="57"/>
    </row>
    <row r="18" spans="1:3" x14ac:dyDescent="0.25">
      <c r="B18" s="57"/>
      <c r="C18" s="57"/>
    </row>
    <row r="19" spans="1:3" x14ac:dyDescent="0.25">
      <c r="B19" s="99"/>
      <c r="C19" s="57"/>
    </row>
    <row r="20" spans="1:3" x14ac:dyDescent="0.25">
      <c r="B20" s="99"/>
      <c r="C20" s="57"/>
    </row>
    <row r="21" spans="1:3" x14ac:dyDescent="0.25">
      <c r="B21" s="99"/>
      <c r="C21" s="57"/>
    </row>
    <row r="22" spans="1:3" x14ac:dyDescent="0.25">
      <c r="A22" s="8"/>
      <c r="B22" s="99"/>
      <c r="C22" s="57"/>
    </row>
    <row r="23" spans="1:3" x14ac:dyDescent="0.25">
      <c r="A23" s="8"/>
      <c r="B23" s="99"/>
      <c r="C23" s="57"/>
    </row>
    <row r="24" spans="1:3" x14ac:dyDescent="0.25">
      <c r="A24" s="8"/>
      <c r="B24" s="99"/>
      <c r="C24" s="57"/>
    </row>
    <row r="25" spans="1:3" x14ac:dyDescent="0.25">
      <c r="A25" s="8"/>
      <c r="B25" s="99"/>
      <c r="C25" s="57"/>
    </row>
    <row r="26" spans="1:3" x14ac:dyDescent="0.25">
      <c r="A26" s="8"/>
      <c r="B26" s="100"/>
      <c r="C26" s="57"/>
    </row>
    <row r="27" spans="1:3" x14ac:dyDescent="0.25">
      <c r="B27" s="99"/>
      <c r="C27" s="57"/>
    </row>
    <row r="28" spans="1:3" x14ac:dyDescent="0.25">
      <c r="B28" s="57"/>
      <c r="C28" s="57"/>
    </row>
    <row r="29" spans="1:3" x14ac:dyDescent="0.25">
      <c r="B29" s="57"/>
      <c r="C29" s="57"/>
    </row>
    <row r="30" spans="1:3" x14ac:dyDescent="0.25">
      <c r="B30" s="57"/>
      <c r="C30" s="57"/>
    </row>
    <row r="31" spans="1:3" x14ac:dyDescent="0.25">
      <c r="B31" s="57"/>
      <c r="C31" s="57"/>
    </row>
    <row r="32" spans="1:3" x14ac:dyDescent="0.25">
      <c r="B32" s="57"/>
      <c r="C32" s="57"/>
    </row>
    <row r="33" spans="2:3" x14ac:dyDescent="0.25">
      <c r="B33" s="57"/>
      <c r="C33" s="57"/>
    </row>
    <row r="34" spans="2:3" x14ac:dyDescent="0.25">
      <c r="B34" s="57"/>
      <c r="C34" s="57"/>
    </row>
    <row r="35" spans="2:3" x14ac:dyDescent="0.25">
      <c r="B35" s="57"/>
      <c r="C35" s="57"/>
    </row>
    <row r="36" spans="2:3" x14ac:dyDescent="0.25">
      <c r="B36" s="57"/>
      <c r="C36" s="57"/>
    </row>
  </sheetData>
  <sheetProtection sheet="1" objects="1" scenarios="1"/>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C2:C4"/>
  <sheetViews>
    <sheetView workbookViewId="0">
      <selection activeCell="B14" sqref="B14"/>
    </sheetView>
  </sheetViews>
  <sheetFormatPr baseColWidth="10" defaultRowHeight="15" x14ac:dyDescent="0.25"/>
  <cols>
    <col min="1" max="1" width="11.7109375" customWidth="1"/>
    <col min="3" max="3" width="14.42578125" customWidth="1"/>
    <col min="5" max="5" width="13.7109375" customWidth="1"/>
    <col min="8" max="8" width="21.140625" customWidth="1"/>
  </cols>
  <sheetData>
    <row r="2" spans="3:3" x14ac:dyDescent="0.25">
      <c r="C2" s="1"/>
    </row>
    <row r="3" spans="3:3" x14ac:dyDescent="0.25">
      <c r="C3" s="1"/>
    </row>
    <row r="4" spans="3:3" x14ac:dyDescent="0.25">
      <c r="C4" s="1"/>
    </row>
  </sheetData>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J40"/>
  <sheetViews>
    <sheetView workbookViewId="0">
      <selection activeCell="H2" sqref="H2"/>
    </sheetView>
  </sheetViews>
  <sheetFormatPr baseColWidth="10" defaultRowHeight="15" x14ac:dyDescent="0.25"/>
  <cols>
    <col min="1" max="1" width="55.7109375" customWidth="1"/>
    <col min="8" max="8" width="23.42578125" customWidth="1"/>
    <col min="10" max="10" width="48.140625" customWidth="1"/>
  </cols>
  <sheetData>
    <row r="1" spans="1:10" ht="18.75" x14ac:dyDescent="0.3">
      <c r="A1" s="54" t="s">
        <v>0</v>
      </c>
      <c r="B1">
        <v>1</v>
      </c>
      <c r="G1" s="1" t="s">
        <v>38</v>
      </c>
      <c r="H1" s="1" t="s">
        <v>294</v>
      </c>
      <c r="I1" t="s">
        <v>288</v>
      </c>
      <c r="J1" t="s">
        <v>289</v>
      </c>
    </row>
    <row r="2" spans="1:10" ht="18.75" x14ac:dyDescent="0.3">
      <c r="A2" s="54" t="s">
        <v>1</v>
      </c>
      <c r="B2">
        <v>2</v>
      </c>
      <c r="G2" s="1">
        <v>43921</v>
      </c>
      <c r="H2" s="1">
        <v>43921</v>
      </c>
      <c r="I2" t="s">
        <v>290</v>
      </c>
      <c r="J2" t="s">
        <v>291</v>
      </c>
    </row>
    <row r="3" spans="1:10" ht="18.75" x14ac:dyDescent="0.3">
      <c r="A3" s="54" t="s">
        <v>172</v>
      </c>
      <c r="B3">
        <v>3</v>
      </c>
      <c r="G3" s="1">
        <v>43921</v>
      </c>
      <c r="H3" s="1">
        <v>43921</v>
      </c>
      <c r="I3" t="s">
        <v>292</v>
      </c>
      <c r="J3" t="s">
        <v>293</v>
      </c>
    </row>
    <row r="4" spans="1:10" ht="18.75" x14ac:dyDescent="0.3">
      <c r="A4" s="54" t="s">
        <v>12</v>
      </c>
      <c r="B4">
        <v>4</v>
      </c>
    </row>
    <row r="5" spans="1:10" ht="18.75" x14ac:dyDescent="0.3">
      <c r="A5" s="54" t="s">
        <v>2</v>
      </c>
      <c r="B5">
        <v>5</v>
      </c>
    </row>
    <row r="6" spans="1:10" ht="18.75" x14ac:dyDescent="0.3">
      <c r="A6" s="54" t="s">
        <v>3</v>
      </c>
      <c r="B6">
        <v>6</v>
      </c>
    </row>
    <row r="7" spans="1:10" ht="18.75" x14ac:dyDescent="0.3">
      <c r="A7" s="54" t="s">
        <v>4</v>
      </c>
      <c r="B7">
        <v>7</v>
      </c>
    </row>
    <row r="8" spans="1:10" ht="18.75" x14ac:dyDescent="0.3">
      <c r="A8" s="54" t="s">
        <v>92</v>
      </c>
      <c r="B8">
        <v>8</v>
      </c>
    </row>
    <row r="9" spans="1:10" ht="18.75" x14ac:dyDescent="0.3">
      <c r="A9" s="54" t="s">
        <v>5</v>
      </c>
      <c r="B9">
        <v>9</v>
      </c>
    </row>
    <row r="10" spans="1:10" ht="18.75" x14ac:dyDescent="0.3">
      <c r="A10" s="54" t="s">
        <v>6</v>
      </c>
      <c r="B10">
        <v>10</v>
      </c>
    </row>
    <row r="11" spans="1:10" ht="18.75" x14ac:dyDescent="0.3">
      <c r="A11" s="54" t="s">
        <v>173</v>
      </c>
      <c r="B11">
        <v>11</v>
      </c>
    </row>
    <row r="12" spans="1:10" ht="18.75" x14ac:dyDescent="0.3">
      <c r="A12" s="54" t="s">
        <v>174</v>
      </c>
      <c r="B12">
        <v>12</v>
      </c>
    </row>
    <row r="13" spans="1:10" ht="18.75" x14ac:dyDescent="0.3">
      <c r="A13" s="54" t="s">
        <v>175</v>
      </c>
      <c r="B13">
        <v>13</v>
      </c>
    </row>
    <row r="14" spans="1:10" ht="18.75" x14ac:dyDescent="0.3">
      <c r="A14" s="54" t="s">
        <v>176</v>
      </c>
      <c r="B14">
        <v>14</v>
      </c>
    </row>
    <row r="15" spans="1:10" ht="18.75" x14ac:dyDescent="0.3">
      <c r="A15" s="54" t="s">
        <v>177</v>
      </c>
      <c r="B15">
        <v>15</v>
      </c>
    </row>
    <row r="16" spans="1:10" ht="18.75" x14ac:dyDescent="0.3">
      <c r="A16" s="54" t="s">
        <v>152</v>
      </c>
      <c r="B16">
        <v>16</v>
      </c>
    </row>
    <row r="17" spans="1:2" ht="18.75" x14ac:dyDescent="0.3">
      <c r="A17" s="54" t="s">
        <v>178</v>
      </c>
      <c r="B17">
        <v>17</v>
      </c>
    </row>
    <row r="18" spans="1:2" ht="18.75" x14ac:dyDescent="0.3">
      <c r="A18" s="54" t="s">
        <v>179</v>
      </c>
      <c r="B18">
        <v>18</v>
      </c>
    </row>
    <row r="19" spans="1:2" ht="18.75" x14ac:dyDescent="0.3">
      <c r="A19" s="54" t="s">
        <v>180</v>
      </c>
      <c r="B19">
        <v>19</v>
      </c>
    </row>
    <row r="20" spans="1:2" ht="18.75" x14ac:dyDescent="0.3">
      <c r="A20" s="54" t="s">
        <v>181</v>
      </c>
      <c r="B20">
        <v>20</v>
      </c>
    </row>
    <row r="21" spans="1:2" ht="18.75" x14ac:dyDescent="0.3">
      <c r="A21" s="54" t="s">
        <v>8</v>
      </c>
      <c r="B21">
        <v>21</v>
      </c>
    </row>
    <row r="22" spans="1:2" ht="18.75" x14ac:dyDescent="0.3">
      <c r="A22" s="54" t="s">
        <v>11</v>
      </c>
      <c r="B22">
        <v>22</v>
      </c>
    </row>
    <row r="23" spans="1:2" ht="18.75" x14ac:dyDescent="0.3">
      <c r="A23" s="54" t="s">
        <v>182</v>
      </c>
      <c r="B23">
        <v>23</v>
      </c>
    </row>
    <row r="24" spans="1:2" ht="18.75" x14ac:dyDescent="0.3">
      <c r="A24" s="54" t="s">
        <v>183</v>
      </c>
      <c r="B24">
        <v>24</v>
      </c>
    </row>
    <row r="25" spans="1:2" ht="18.75" x14ac:dyDescent="0.3">
      <c r="A25" s="54" t="s">
        <v>15</v>
      </c>
      <c r="B25">
        <v>25</v>
      </c>
    </row>
    <row r="26" spans="1:2" ht="18.75" x14ac:dyDescent="0.3">
      <c r="A26" s="54" t="s">
        <v>184</v>
      </c>
      <c r="B26">
        <v>26</v>
      </c>
    </row>
    <row r="27" spans="1:2" ht="18.75" x14ac:dyDescent="0.3">
      <c r="A27" s="54" t="s">
        <v>185</v>
      </c>
      <c r="B27">
        <v>27</v>
      </c>
    </row>
    <row r="28" spans="1:2" ht="18.75" x14ac:dyDescent="0.3">
      <c r="A28" s="54" t="s">
        <v>186</v>
      </c>
      <c r="B28">
        <v>28</v>
      </c>
    </row>
    <row r="29" spans="1:2" ht="18.75" x14ac:dyDescent="0.3">
      <c r="A29" s="54" t="s">
        <v>187</v>
      </c>
      <c r="B29">
        <v>29</v>
      </c>
    </row>
    <row r="30" spans="1:2" ht="18.75" x14ac:dyDescent="0.3">
      <c r="A30" s="54" t="s">
        <v>188</v>
      </c>
      <c r="B30">
        <v>30</v>
      </c>
    </row>
    <row r="31" spans="1:2" ht="18.75" x14ac:dyDescent="0.3">
      <c r="A31" s="54" t="s">
        <v>195</v>
      </c>
      <c r="B31">
        <v>31</v>
      </c>
    </row>
    <row r="32" spans="1:2" ht="18.75" x14ac:dyDescent="0.3">
      <c r="A32" s="54" t="s">
        <v>196</v>
      </c>
      <c r="B32">
        <v>32</v>
      </c>
    </row>
    <row r="33" spans="1:2" ht="18.75" x14ac:dyDescent="0.3">
      <c r="A33" s="54" t="s">
        <v>197</v>
      </c>
      <c r="B33">
        <v>33</v>
      </c>
    </row>
    <row r="34" spans="1:2" ht="18.75" x14ac:dyDescent="0.3">
      <c r="A34" s="54" t="s">
        <v>189</v>
      </c>
      <c r="B34">
        <v>34</v>
      </c>
    </row>
    <row r="35" spans="1:2" ht="18.75" x14ac:dyDescent="0.3">
      <c r="A35" s="54" t="s">
        <v>190</v>
      </c>
      <c r="B35">
        <v>35</v>
      </c>
    </row>
    <row r="36" spans="1:2" ht="18.75" x14ac:dyDescent="0.3">
      <c r="A36" s="54" t="s">
        <v>191</v>
      </c>
      <c r="B36">
        <v>36</v>
      </c>
    </row>
    <row r="37" spans="1:2" ht="18.75" x14ac:dyDescent="0.3">
      <c r="A37" s="54" t="s">
        <v>192</v>
      </c>
      <c r="B37">
        <v>37</v>
      </c>
    </row>
    <row r="38" spans="1:2" ht="18.75" x14ac:dyDescent="0.3">
      <c r="A38" s="54" t="s">
        <v>193</v>
      </c>
      <c r="B38">
        <v>38</v>
      </c>
    </row>
    <row r="39" spans="1:2" ht="18.75" x14ac:dyDescent="0.3">
      <c r="A39" s="54" t="s">
        <v>194</v>
      </c>
      <c r="B39">
        <v>39</v>
      </c>
    </row>
    <row r="40" spans="1:2" ht="18.75" x14ac:dyDescent="0.3">
      <c r="A40" s="55" t="s">
        <v>198</v>
      </c>
      <c r="B40">
        <v>40</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52</vt:i4>
      </vt:variant>
    </vt:vector>
  </HeadingPairs>
  <TitlesOfParts>
    <vt:vector size="62" baseType="lpstr">
      <vt:lpstr>Haupt</vt:lpstr>
      <vt:lpstr>Eingabetabelle</vt:lpstr>
      <vt:lpstr>Datenbank</vt:lpstr>
      <vt:lpstr>DatenKP</vt:lpstr>
      <vt:lpstr>Empfehlung</vt:lpstr>
      <vt:lpstr>KP1-Anordnung</vt:lpstr>
      <vt:lpstr>Covid-Anordnung</vt:lpstr>
      <vt:lpstr>Einstellungen</vt:lpstr>
      <vt:lpstr>Erläuterungen</vt:lpstr>
      <vt:lpstr>Tabelle2</vt:lpstr>
      <vt:lpstr>anderesGesAmt</vt:lpstr>
      <vt:lpstr>Anrede</vt:lpstr>
      <vt:lpstr>AnredeText</vt:lpstr>
      <vt:lpstr>Arbeitgeber</vt:lpstr>
      <vt:lpstr>Arbeitgeber_Hausnummer</vt:lpstr>
      <vt:lpstr>Arbeitgeber_nur_Postleitzahl</vt:lpstr>
      <vt:lpstr>Arbeitgeber_Ort</vt:lpstr>
      <vt:lpstr>Arbeitgeber_Straße</vt:lpstr>
      <vt:lpstr>baseurl</vt:lpstr>
      <vt:lpstr>Beginn_Krankheitszeichen</vt:lpstr>
      <vt:lpstr>Begründung</vt:lpstr>
      <vt:lpstr>dateiname</vt:lpstr>
      <vt:lpstr>Datum</vt:lpstr>
      <vt:lpstr>'Covid-Anordnung'!Druckbereich</vt:lpstr>
      <vt:lpstr>Eingabetabelle!Druckbereich</vt:lpstr>
      <vt:lpstr>Empfehlung!Druckbereich</vt:lpstr>
      <vt:lpstr>'KP1-Anordnung'!Druckbereich</vt:lpstr>
      <vt:lpstr>Tabelle2!Druckbereich</vt:lpstr>
      <vt:lpstr>Email_senden</vt:lpstr>
      <vt:lpstr>endung</vt:lpstr>
      <vt:lpstr>Erziehungsberechtigte</vt:lpstr>
      <vt:lpstr>Festnetz</vt:lpstr>
      <vt:lpstr>Geburtsdatum</vt:lpstr>
      <vt:lpstr>Hausnummer</vt:lpstr>
      <vt:lpstr>Info_Datum_Quarantäneverstoss</vt:lpstr>
      <vt:lpstr>Info_vom_Quarant_Verstoss</vt:lpstr>
      <vt:lpstr>janein</vt:lpstr>
      <vt:lpstr>KP_nächste_freie_Zeile</vt:lpstr>
      <vt:lpstr>KP_zustGesAMt</vt:lpstr>
      <vt:lpstr>KP_zustGesAmtEmail</vt:lpstr>
      <vt:lpstr>Language</vt:lpstr>
      <vt:lpstr>letzte_Zeile_Email</vt:lpstr>
      <vt:lpstr>LetzteAnsteckung</vt:lpstr>
      <vt:lpstr>Mobil</vt:lpstr>
      <vt:lpstr>Nachname</vt:lpstr>
      <vt:lpstr>nächste_freie_Zeile</vt:lpstr>
      <vt:lpstr>Notwendigkeit</vt:lpstr>
      <vt:lpstr>ordner</vt:lpstr>
      <vt:lpstr>Ort</vt:lpstr>
      <vt:lpstr>PLZ</vt:lpstr>
      <vt:lpstr>Quarantaeneende</vt:lpstr>
      <vt:lpstr>Quarantäneverstoss</vt:lpstr>
      <vt:lpstr>Risiko</vt:lpstr>
      <vt:lpstr>Rückruf</vt:lpstr>
      <vt:lpstr>Speicherort</vt:lpstr>
      <vt:lpstr>Startzeile_Email</vt:lpstr>
      <vt:lpstr>Strasse</vt:lpstr>
      <vt:lpstr>Symptome</vt:lpstr>
      <vt:lpstr>Verbtext</vt:lpstr>
      <vt:lpstr>Verlaengerung_QE</vt:lpstr>
      <vt:lpstr>Verlängerung_QE</vt:lpstr>
      <vt:lpstr>Vorname</vt:lpstr>
    </vt:vector>
  </TitlesOfParts>
  <Company>Bezirksamt Reinickendorf von Berlin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Kuehne, Thomas</dc:creator>
  <cp:lastModifiedBy>Kuehne, Thomas</cp:lastModifiedBy>
  <cp:lastPrinted>2020-03-31T08:18:11Z</cp:lastPrinted>
  <dcterms:created xsi:type="dcterms:W3CDTF">2020-03-13T17:02:56Z</dcterms:created>
  <dcterms:modified xsi:type="dcterms:W3CDTF">2020-04-02T12:06:44Z</dcterms:modified>
</cp:coreProperties>
</file>